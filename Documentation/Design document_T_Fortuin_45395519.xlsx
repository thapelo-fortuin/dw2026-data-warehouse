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2BF7B863-F48F-40AF-B91A-2354F414E62C}" xr6:coauthVersionLast="47" xr6:coauthVersionMax="47" xr10:uidLastSave="{00000000-0000-0000-0000-000000000000}"/>
  <bookViews>
    <workbookView xWindow="-120" yWindow="-120" windowWidth="29040" windowHeight="15720" firstSheet="2" activeTab="9" autoFilterDateGrouping="0" xr2:uid="{00000000-000D-0000-FFFF-FFFF00000000}"/>
  </bookViews>
  <sheets>
    <sheet name="Index" sheetId="1" r:id="rId1"/>
    <sheet name="Naming Conventions" sheetId="30" r:id="rId2"/>
    <sheet name="Bus Matrix" sheetId="27" r:id="rId3"/>
    <sheet name="AtomicDW" sheetId="37" r:id="rId4"/>
    <sheet name="Invoicing_Fact" sheetId="29" r:id="rId5"/>
    <sheet name="Invoice_Date" sheetId="7" r:id="rId6"/>
    <sheet name="Customer_Dim" sheetId="63" r:id="rId7"/>
    <sheet name="Employee_Dim" sheetId="82" r:id="rId8"/>
    <sheet name="Stock_Item_Dim" sheetId="83" r:id="rId9"/>
    <sheet name="Package_Type_Dim" sheetId="84" r:id="rId10"/>
    <sheet name="Source Files" sheetId="2" r:id="rId11"/>
    <sheet name="SF_Customer" sheetId="66" r:id="rId12"/>
    <sheet name="SF_Person" sheetId="75" r:id="rId13"/>
    <sheet name="SF_Invoice Lines" sheetId="77" r:id="rId14"/>
    <sheet name="SF_Stock_Items" sheetId="78" r:id="rId15"/>
    <sheet name="Stage1" sheetId="4" r:id="rId16"/>
    <sheet name="S1_Customer" sheetId="73" r:id="rId17"/>
    <sheet name="S1_Person" sheetId="74" r:id="rId18"/>
    <sheet name="S1_Stock_Items " sheetId="92" r:id="rId19"/>
    <sheet name="S1_Invoice_Lines" sheetId="79" r:id="rId20"/>
    <sheet name="Stage2" sheetId="32" r:id="rId21"/>
    <sheet name="S2_Customer_Category_Lookup" sheetId="86" r:id="rId22"/>
    <sheet name="S2_Customer" sheetId="85" r:id="rId23"/>
    <sheet name="S2_Stock_Items" sheetId="80" r:id="rId24"/>
    <sheet name="S2_Employee" sheetId="91" r:id="rId25"/>
    <sheet name="S2_Package_Type" sheetId="89" r:id="rId26"/>
    <sheet name="S2_Invoice_Lines" sheetId="88" r:id="rId27"/>
    <sheet name="S2_Invoice_Date " sheetId="90" r:id="rId28"/>
    <sheet name="Process Metadata" sheetId="9" r:id="rId29"/>
  </sheets>
  <externalReferences>
    <externalReference r:id="rId30"/>
  </externalReferences>
  <definedNames>
    <definedName name="_xlnm._FilterDatabase" localSheetId="1" hidden="1">'Naming Conventions'!#REF!</definedName>
    <definedName name="LU_DOW" localSheetId="3">#REF!</definedName>
    <definedName name="LU_DOW" localSheetId="16">#REF!</definedName>
    <definedName name="LU_DOW" localSheetId="19">#REF!</definedName>
    <definedName name="LU_DOW" localSheetId="17">#REF!</definedName>
    <definedName name="LU_DOW" localSheetId="18">#REF!</definedName>
    <definedName name="LU_DOW" localSheetId="22">#REF!</definedName>
    <definedName name="LU_DOW" localSheetId="21">#REF!</definedName>
    <definedName name="LU_DOW" localSheetId="26">#REF!</definedName>
    <definedName name="LU_DOW" localSheetId="23">#REF!</definedName>
    <definedName name="LU_DOW" localSheetId="20">#REF!</definedName>
    <definedName name="LU_DOW">#REF!</definedName>
    <definedName name="the_date">'[1]Calendar Day'!$A$31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90" l="1"/>
  <c r="J11" i="90"/>
  <c r="J10" i="90"/>
  <c r="J9" i="90"/>
  <c r="J8" i="90"/>
  <c r="J7" i="90"/>
  <c r="J13" i="7"/>
  <c r="J12" i="7"/>
  <c r="J11" i="7"/>
  <c r="J10" i="7"/>
  <c r="J9" i="7"/>
  <c r="J8" i="7"/>
  <c r="J6" i="7"/>
</calcChain>
</file>

<file path=xl/sharedStrings.xml><?xml version="1.0" encoding="utf-8"?>
<sst xmlns="http://schemas.openxmlformats.org/spreadsheetml/2006/main" count="1810" uniqueCount="609">
  <si>
    <t>Source Files</t>
  </si>
  <si>
    <t>File name</t>
  </si>
  <si>
    <t>Source system</t>
  </si>
  <si>
    <t>Desription</t>
  </si>
  <si>
    <t>File format</t>
  </si>
  <si>
    <t>Index</t>
  </si>
  <si>
    <t>Source ID</t>
  </si>
  <si>
    <t>Description</t>
  </si>
  <si>
    <t>Example1</t>
  </si>
  <si>
    <t>Example2</t>
  </si>
  <si>
    <t>Business ID</t>
  </si>
  <si>
    <t>Y</t>
  </si>
  <si>
    <t>Stage1 is an ETL staging database that will store imported source data as extracted from the sources systems.</t>
  </si>
  <si>
    <t>All data for this database is currently imported as part of a batch process</t>
  </si>
  <si>
    <t>Data Tables</t>
  </si>
  <si>
    <t>Column</t>
  </si>
  <si>
    <t>DB Type</t>
  </si>
  <si>
    <t>Example 1</t>
  </si>
  <si>
    <t>Field Name</t>
  </si>
  <si>
    <t>IBPT_ID</t>
  </si>
  <si>
    <t>int</t>
  </si>
  <si>
    <t>Name</t>
  </si>
  <si>
    <t>Source type</t>
  </si>
  <si>
    <t>Abbreviation</t>
  </si>
  <si>
    <t>Process Metadata Tables</t>
  </si>
  <si>
    <t>Import_Batch</t>
  </si>
  <si>
    <t>IB</t>
  </si>
  <si>
    <t>Import_Batch_Process</t>
  </si>
  <si>
    <t>One record for each subset of related source system files</t>
  </si>
  <si>
    <t>IBP</t>
  </si>
  <si>
    <t>Import_Batch_Process_Task</t>
  </si>
  <si>
    <t>One record for each source system file imported</t>
  </si>
  <si>
    <t>IBPT</t>
  </si>
  <si>
    <t>One record created each time the batch data set is imported</t>
  </si>
  <si>
    <t>S1_Import</t>
  </si>
  <si>
    <t>nvarchar(50)</t>
  </si>
  <si>
    <t>tinyint</t>
  </si>
  <si>
    <t>Dimension Type:</t>
  </si>
  <si>
    <t>Business Process</t>
  </si>
  <si>
    <t>Fact tables</t>
  </si>
  <si>
    <t>Fact table type</t>
  </si>
  <si>
    <t>Granularity</t>
  </si>
  <si>
    <t>Date</t>
  </si>
  <si>
    <t>Description:</t>
  </si>
  <si>
    <t>Key?</t>
  </si>
  <si>
    <t>FK to</t>
  </si>
  <si>
    <t>SCD Type</t>
  </si>
  <si>
    <t>No Value member</t>
  </si>
  <si>
    <t>Unknown member</t>
  </si>
  <si>
    <t>Comments</t>
  </si>
  <si>
    <t>Date_Key</t>
  </si>
  <si>
    <t>Surrogate primary key</t>
  </si>
  <si>
    <t>PK</t>
  </si>
  <si>
    <t>N/A</t>
  </si>
  <si>
    <t>date</t>
  </si>
  <si>
    <t>Business Key, a day represented by a date value</t>
  </si>
  <si>
    <t>Create Index</t>
  </si>
  <si>
    <t>Date_Description</t>
  </si>
  <si>
    <t>nvarchar(20)</t>
  </si>
  <si>
    <t>Full date description in English</t>
  </si>
  <si>
    <t>*No Date</t>
  </si>
  <si>
    <t>*Unknown date</t>
  </si>
  <si>
    <t>nvarchar(10)</t>
  </si>
  <si>
    <t>smallint</t>
  </si>
  <si>
    <t>Month_Of_Year</t>
  </si>
  <si>
    <t>The calendar month of the year as a number, where January equals 1</t>
  </si>
  <si>
    <t>Month</t>
  </si>
  <si>
    <t>Calendar month name in English</t>
  </si>
  <si>
    <t>January</t>
  </si>
  <si>
    <t>Year</t>
  </si>
  <si>
    <t>Calendar year as a number</t>
  </si>
  <si>
    <t>Year_Month</t>
  </si>
  <si>
    <t>nchar(7)</t>
  </si>
  <si>
    <t>Calendar year as a number concatenated with the calendar month as a number (including leading zeros) represented as a character string</t>
  </si>
  <si>
    <t>9999-01</t>
  </si>
  <si>
    <t>1900-01</t>
  </si>
  <si>
    <t>Bus Matrix</t>
  </si>
  <si>
    <t>Dimensions</t>
  </si>
  <si>
    <t>Running, Failed, Completed</t>
  </si>
  <si>
    <t>IB_Status</t>
  </si>
  <si>
    <t>End date and time for the process</t>
  </si>
  <si>
    <t>datetime</t>
  </si>
  <si>
    <t>IB_End</t>
  </si>
  <si>
    <t>Start date and time for the process</t>
  </si>
  <si>
    <t>IB_Start</t>
  </si>
  <si>
    <t>IB_Month</t>
  </si>
  <si>
    <t>IB_Year</t>
  </si>
  <si>
    <t>description of the SSIS package</t>
  </si>
  <si>
    <t>IB_Description</t>
  </si>
  <si>
    <t>auto generated ID for the import batch</t>
  </si>
  <si>
    <t>IB_ID</t>
  </si>
  <si>
    <t>Allow null?</t>
  </si>
  <si>
    <t>FK</t>
  </si>
  <si>
    <t>IBP_ID</t>
  </si>
  <si>
    <t>auto generated ID for the import batch process</t>
  </si>
  <si>
    <t>Foreign key to Import_Batch</t>
  </si>
  <si>
    <t>IBP_Description</t>
  </si>
  <si>
    <t>IBP_Start</t>
  </si>
  <si>
    <t>IBP_End</t>
  </si>
  <si>
    <t>IBP_Status</t>
  </si>
  <si>
    <t>Foreign key to Import_Batch_Process</t>
  </si>
  <si>
    <t>IBPT_Description</t>
  </si>
  <si>
    <t>description of the data flow</t>
  </si>
  <si>
    <t>IBPT_Start</t>
  </si>
  <si>
    <t>IBPT_End</t>
  </si>
  <si>
    <t>IBPT_Status</t>
  </si>
  <si>
    <t>IBPT_Records_In</t>
  </si>
  <si>
    <t>number of records for input to the task</t>
  </si>
  <si>
    <t>IBPT_Records_Failed</t>
  </si>
  <si>
    <t>number of records with errors that could not be loaded</t>
  </si>
  <si>
    <t>IBPT_Records_Out</t>
  </si>
  <si>
    <t>number of records successfully loaded</t>
  </si>
  <si>
    <t>Base Dimension Name:</t>
  </si>
  <si>
    <t>Fact table</t>
  </si>
  <si>
    <t>Name:</t>
  </si>
  <si>
    <t>BK</t>
  </si>
  <si>
    <t>*Unknown</t>
  </si>
  <si>
    <t>Effective_Date</t>
  </si>
  <si>
    <t>Record effective date</t>
  </si>
  <si>
    <t>Housekeeping column</t>
  </si>
  <si>
    <t>Expiration_Date</t>
  </si>
  <si>
    <t>Record expiration date</t>
  </si>
  <si>
    <t>IsCurrent</t>
  </si>
  <si>
    <t>bit</t>
  </si>
  <si>
    <t>latest version, 1 if true, 0 if false</t>
  </si>
  <si>
    <t>Import Batch Process Task ID</t>
  </si>
  <si>
    <t>Import_Action</t>
  </si>
  <si>
    <t>Latest Import Batch action (Insert, Update, Expire)</t>
  </si>
  <si>
    <t>Insert</t>
  </si>
  <si>
    <t>NULL allowed?</t>
  </si>
  <si>
    <t>No</t>
  </si>
  <si>
    <t>Naming Conventions</t>
  </si>
  <si>
    <t>csv file; Encoding: Western (Windows 1252)</t>
  </si>
  <si>
    <t>Expected Type, length/size, range</t>
  </si>
  <si>
    <t>decimal, max 2 decimals, &gt; 0</t>
  </si>
  <si>
    <t>Are there missing values? Are nulls allowed</t>
  </si>
  <si>
    <t>Other comments</t>
  </si>
  <si>
    <t>No, No</t>
  </si>
  <si>
    <t>NULL value replacement</t>
  </si>
  <si>
    <t>Example 2</t>
  </si>
  <si>
    <t>Notes</t>
  </si>
  <si>
    <t>Metadata: Import Batch Process Task ID</t>
  </si>
  <si>
    <t>FK key to Import Batch Process Task</t>
  </si>
  <si>
    <t>Folder:</t>
  </si>
  <si>
    <t>Stage1 database</t>
  </si>
  <si>
    <t>DB name:</t>
  </si>
  <si>
    <t>Stage1</t>
  </si>
  <si>
    <t>Table name:</t>
  </si>
  <si>
    <t>Source File</t>
  </si>
  <si>
    <t>Error if null</t>
  </si>
  <si>
    <t>numeric(10,2)</t>
  </si>
  <si>
    <t>\SourceFiles\YYYYM(M)</t>
  </si>
  <si>
    <t>Views name:</t>
  </si>
  <si>
    <t>The only transformations that will occur during this first import step, is to replace some missing or NULL values with default values.</t>
  </si>
  <si>
    <t>Source</t>
  </si>
  <si>
    <t>Batch year</t>
  </si>
  <si>
    <t>Batch month</t>
  </si>
  <si>
    <t>NULL Allowed?</t>
  </si>
  <si>
    <t>Process Metadata Tables and Views</t>
  </si>
  <si>
    <t>V_IB_Latest</t>
  </si>
  <si>
    <t>SELECT        IB_Year, IB_Month, MAX(IB_ID) AS Latest_IB_ID, EOMONTH(DATEFROMPARTS(IB_Year, IB_Month, 1)) AS Last_Day_Of_Month
FROM            dbo.Import_Batch
GROUP BY IB_Year, IB_Month, EOMONTH(DATEFROMPARTS(IB_Year, IB_Month, 1))</t>
  </si>
  <si>
    <t>Process Metadata Views</t>
  </si>
  <si>
    <t>Lists the latest IB_ID for each IB_Year and IB_Month</t>
  </si>
  <si>
    <t>Source tables</t>
  </si>
  <si>
    <t>(data tables only)</t>
  </si>
  <si>
    <t>Stage2</t>
  </si>
  <si>
    <t>Stage2 database</t>
  </si>
  <si>
    <t xml:space="preserve">Stage2 is an ETL staging database that stores dimension and fact table data in preparation for loading. </t>
  </si>
  <si>
    <t>When loading data into Stage2, duplicates are removed, referential integrity is checked, and lookup tables are used to conform data</t>
  </si>
  <si>
    <t>Additional standard descriptions and or hierarchies/groupings are stored in this databases and imported information are linked to them</t>
  </si>
  <si>
    <t>S1_Import_MM
...</t>
  </si>
  <si>
    <t>S1_Import_MM_Stock_Take
...</t>
  </si>
  <si>
    <t>List of SSIS Package names</t>
  </si>
  <si>
    <t>Data Views</t>
  </si>
  <si>
    <t>AtomicDW</t>
  </si>
  <si>
    <t>AtomicDW is the relational data store for the all the dimension tables and fact tables</t>
  </si>
  <si>
    <t>It also includes views that may be required for OLAP cubes and other BI tools</t>
  </si>
  <si>
    <t>Each batch represents a set of data for a specific Year and month</t>
  </si>
  <si>
    <t>S2_Import</t>
  </si>
  <si>
    <t>S2_Import_MM
...</t>
  </si>
  <si>
    <t>S2_Import_MM_Material
S2_Import_MM_Stock_Take
...</t>
  </si>
  <si>
    <t>DW_Import</t>
  </si>
  <si>
    <t>Custom created Date records</t>
  </si>
  <si>
    <t>Example</t>
  </si>
  <si>
    <t>Latest Import Batch action (Insert)</t>
  </si>
  <si>
    <t>FK to Import_Batch_Process_Task</t>
  </si>
  <si>
    <t>V_Min_Year_Key_Per_Year</t>
  </si>
  <si>
    <t>Lists the smallest Year_Key for each Year in the Date Dimension</t>
  </si>
  <si>
    <t>Error Files</t>
  </si>
  <si>
    <t>\ErrorFiles\</t>
  </si>
  <si>
    <t>&lt;Package name&gt;_&lt;import batch&gt;_Errors.csv</t>
  </si>
  <si>
    <t>DB Backup files</t>
  </si>
  <si>
    <t>\DBBackup\</t>
  </si>
  <si>
    <t>(system generated)</t>
  </si>
  <si>
    <t>Dimension Table name:</t>
  </si>
  <si>
    <t>&lt;Dimension name&gt;</t>
  </si>
  <si>
    <t>Fact Table name:</t>
  </si>
  <si>
    <t>&lt;Fact table name&gt;_Fact</t>
  </si>
  <si>
    <t>SSIS Packages</t>
  </si>
  <si>
    <t>Overall batch import:</t>
  </si>
  <si>
    <t>Batch_Import</t>
  </si>
  <si>
    <t>Import into a database:</t>
  </si>
  <si>
    <t>&lt;database abbreviation&gt;_Import</t>
  </si>
  <si>
    <t>Abbreviation:</t>
  </si>
  <si>
    <t>S1</t>
  </si>
  <si>
    <t>S2</t>
  </si>
  <si>
    <t>DW</t>
  </si>
  <si>
    <t>Import a business process:</t>
  </si>
  <si>
    <t>&lt;database abbreviation&gt;_Import_&lt;business process abbreviation&gt;</t>
  </si>
  <si>
    <t>Import a target table:</t>
  </si>
  <si>
    <t>&lt;database abbreviation&gt;_Import_&lt;business process abbreviation&gt;_&lt;target table name&gt;</t>
  </si>
  <si>
    <t>Data warehouse</t>
  </si>
  <si>
    <t>(relational)</t>
  </si>
  <si>
    <t>Process metadata</t>
  </si>
  <si>
    <t>auto generated ID for the import batch process task</t>
  </si>
  <si>
    <t>Relates to one batch of data for a specific year and month</t>
  </si>
  <si>
    <t>Relates to importing data for a specific business process</t>
  </si>
  <si>
    <t>Relates to importing data for specific target table</t>
  </si>
  <si>
    <t>IBPT_Dim_Historical</t>
  </si>
  <si>
    <t>number of historical (type 2) records inserted - only in data warehouse</t>
  </si>
  <si>
    <t>IBPT_Dim_Changing</t>
  </si>
  <si>
    <t>number of changing (type 1) records updated - only in data warehouse</t>
  </si>
  <si>
    <t>IBPT_Dim_New</t>
  </si>
  <si>
    <t>IBPT_Dim_Unchanged</t>
  </si>
  <si>
    <t>number of new dimension records inserted - only in data warehouse</t>
  </si>
  <si>
    <t>number of unchanged dimension records - only in data warehouse</t>
  </si>
  <si>
    <t>IBPT_Dim_Fixed_Errors</t>
  </si>
  <si>
    <t>number of dimension records that have changes in fields specified as Fixed (not suppose to change) - only in data warehouse</t>
  </si>
  <si>
    <t>Week_Of_Year</t>
  </si>
  <si>
    <t>The number of the week of year (1 to 53)</t>
  </si>
  <si>
    <t>DW_Import_..</t>
  </si>
  <si>
    <t>SF_&lt;source file name&gt;</t>
  </si>
  <si>
    <t>(non static)</t>
  </si>
  <si>
    <t>S1_&lt;table_name&gt;</t>
  </si>
  <si>
    <t>S1_V_&lt;viem name&gt;</t>
  </si>
  <si>
    <t>S2_&lt;table_name&gt;</t>
  </si>
  <si>
    <t>S2_V_&lt;view name&gt;</t>
  </si>
  <si>
    <t>V_&lt;view name&gt;</t>
  </si>
  <si>
    <t>Customer_ID</t>
  </si>
  <si>
    <t>Customer_Name</t>
  </si>
  <si>
    <t>Sales source system</t>
  </si>
  <si>
    <t>CustomerID</t>
  </si>
  <si>
    <t>date, yyyy/MM/dd</t>
  </si>
  <si>
    <t>integer, 1 or more digits</t>
  </si>
  <si>
    <t>SF_Customer</t>
  </si>
  <si>
    <t>SF_Customer.csv</t>
  </si>
  <si>
    <t>Sales customer information</t>
  </si>
  <si>
    <t>CustomerName</t>
  </si>
  <si>
    <t>CustomerCategoryID</t>
  </si>
  <si>
    <t>BuyingGroupName</t>
  </si>
  <si>
    <t>CreditLimit</t>
  </si>
  <si>
    <t>AccountOpenedDate</t>
  </si>
  <si>
    <t>Each batch represents a set of data for a specific time period</t>
  </si>
  <si>
    <t>Each batch represents a set of data for a time period</t>
  </si>
  <si>
    <t>text, 50?</t>
  </si>
  <si>
    <t>Source system ID for the Customer</t>
  </si>
  <si>
    <t>Starts with 1</t>
  </si>
  <si>
    <t>Name of the customer</t>
  </si>
  <si>
    <t>integer</t>
  </si>
  <si>
    <t>Source system ID for the Customer category</t>
  </si>
  <si>
    <t>Buying group description</t>
  </si>
  <si>
    <t>Yes, No</t>
  </si>
  <si>
    <t>Credit limit of the customer</t>
  </si>
  <si>
    <t>date the customer account was opened</t>
  </si>
  <si>
    <t>Tailspin Toys (Head Office)</t>
  </si>
  <si>
    <t>Tailspin Toys</t>
  </si>
  <si>
    <t>Abel Tatarescu</t>
  </si>
  <si>
    <t>Customer_Category_ID</t>
  </si>
  <si>
    <t>Customer_Buying_Group_Name</t>
  </si>
  <si>
    <t>Customer_Credit_Limit</t>
  </si>
  <si>
    <t>See Customer category list, starts at 1</t>
  </si>
  <si>
    <t>If empty, then not applicable</t>
  </si>
  <si>
    <t>*No buying group</t>
  </si>
  <si>
    <t>Customer_Account_Opened_Date</t>
  </si>
  <si>
    <t>S1_Customer</t>
  </si>
  <si>
    <t>One record for each calendar day. Static dimension (no updates from a source system)</t>
  </si>
  <si>
    <t>Dimension name</t>
  </si>
  <si>
    <t>Business Key, source system id</t>
  </si>
  <si>
    <t>Person_ID</t>
  </si>
  <si>
    <t>FullName</t>
  </si>
  <si>
    <t>IsEmployee</t>
  </si>
  <si>
    <t>EmailAddress</t>
  </si>
  <si>
    <t>PersonID</t>
  </si>
  <si>
    <t>PrefferedName</t>
  </si>
  <si>
    <t>IsSystemUser</t>
  </si>
  <si>
    <t xml:space="preserve">Boolean </t>
  </si>
  <si>
    <t>Source system ID for the Person</t>
  </si>
  <si>
    <t>Name of the person</t>
  </si>
  <si>
    <t xml:space="preserve">The person's preferred name </t>
  </si>
  <si>
    <t>An indicator to check is the person is a system user</t>
  </si>
  <si>
    <t>String, 50?</t>
  </si>
  <si>
    <t>The person's email address</t>
  </si>
  <si>
    <t>Kayla Woodcock</t>
  </si>
  <si>
    <t>Hudson Onslow</t>
  </si>
  <si>
    <t>Hudson</t>
  </si>
  <si>
    <t>Kayla</t>
  </si>
  <si>
    <t>YES or No attribute</t>
  </si>
  <si>
    <t>An indicator to check if the person is an employee</t>
  </si>
  <si>
    <t>kaylaw@wideworldimporters.com</t>
  </si>
  <si>
    <t>vitalijs@example.com</t>
  </si>
  <si>
    <t>Preffered name of the person</t>
  </si>
  <si>
    <t>A person's email address</t>
  </si>
  <si>
    <t>Indiaction whether is the person an employee or not</t>
  </si>
  <si>
    <t>Indication of whether the person is a system Induser or not</t>
  </si>
  <si>
    <t>Unknown</t>
  </si>
  <si>
    <t>thapelofortuin@gmail.com</t>
  </si>
  <si>
    <t>fortuinthapel0@gmail.com</t>
  </si>
  <si>
    <t>InvoiceID</t>
  </si>
  <si>
    <t>InvoiceLineID</t>
  </si>
  <si>
    <t>InvoiceDate</t>
  </si>
  <si>
    <t>Source system ID for the Customer as FK</t>
  </si>
  <si>
    <t>integer, 5 or more digits</t>
  </si>
  <si>
    <t>integer, 6 or more digits</t>
  </si>
  <si>
    <t>Date,yyy/MM/dd</t>
  </si>
  <si>
    <t>text, 20?</t>
  </si>
  <si>
    <t>decimal, max 2 decimals, &gt;0</t>
  </si>
  <si>
    <t>decimal, max 2 decimals</t>
  </si>
  <si>
    <t>Source system ID for the invoice</t>
  </si>
  <si>
    <t>Source system ID for the invoice line item</t>
  </si>
  <si>
    <t>Date of the invoice</t>
  </si>
  <si>
    <t>Source system ID for the sales person</t>
  </si>
  <si>
    <t>source system ID for the stock item</t>
  </si>
  <si>
    <t xml:space="preserve">Source system ID for the packa </t>
  </si>
  <si>
    <t>Source system Name for the packa</t>
  </si>
  <si>
    <t>Source system Quantity for the quant</t>
  </si>
  <si>
    <t>Tax Rate for the invoice line item, 10 0r 15</t>
  </si>
  <si>
    <t>Unit Rate for the invoice line item, 10 0r 15</t>
  </si>
  <si>
    <t>Tax amount for the invoice line item</t>
  </si>
  <si>
    <t>Profit for the invoice line item, may be negative</t>
  </si>
  <si>
    <t>Amount for the invoice line item (Quantity x UnitPrice + TaxAmount</t>
  </si>
  <si>
    <t>Each</t>
  </si>
  <si>
    <t xml:space="preserve">Each </t>
  </si>
  <si>
    <t>226.8</t>
  </si>
  <si>
    <t>97.2</t>
  </si>
  <si>
    <t>Stock_Item_ID</t>
  </si>
  <si>
    <t>Source system ID for stock item</t>
  </si>
  <si>
    <t>Stock_Item_Name</t>
  </si>
  <si>
    <t>text, 100?</t>
  </si>
  <si>
    <t>Stock_item_Supplier_ID</t>
  </si>
  <si>
    <t>Stock_Items_Tags</t>
  </si>
  <si>
    <t>Stock_item_Colour</t>
  </si>
  <si>
    <t>Stock_item_Brand</t>
  </si>
  <si>
    <t>Stock_item_Size</t>
  </si>
  <si>
    <t>Stock_item_IsChillerStock</t>
  </si>
  <si>
    <t>Stock_item_UnitPrice</t>
  </si>
  <si>
    <t>Stock_item_MarketingComments</t>
  </si>
  <si>
    <t>Stock_item_RecommendedRetailPrice</t>
  </si>
  <si>
    <t>Invoice_Line_SalespersonPersonID</t>
  </si>
  <si>
    <t>Invoice_Lines_StockItemID</t>
  </si>
  <si>
    <t>Invoice_Lines_PackageTypeID</t>
  </si>
  <si>
    <t>Invoice_Lines_PackageTypeName</t>
  </si>
  <si>
    <t>Invoice_Lines_Quantity</t>
  </si>
  <si>
    <t>Invoice_Lines_UnitPrice</t>
  </si>
  <si>
    <t>Invoice_Lines_TaxAmount</t>
  </si>
  <si>
    <t>Invoice_Lines_TaxRate</t>
  </si>
  <si>
    <t>Invoice_Lines_LineProfit</t>
  </si>
  <si>
    <t>Invoice_Lines_ExtendedPrice</t>
  </si>
  <si>
    <t>text,20?</t>
  </si>
  <si>
    <t>boolean</t>
  </si>
  <si>
    <t>text,10?</t>
  </si>
  <si>
    <t>text,100?</t>
  </si>
  <si>
    <t>Name of the stock item\</t>
  </si>
  <si>
    <t>Source system ID to the supplier</t>
  </si>
  <si>
    <t>Description of the stock item size</t>
  </si>
  <si>
    <t>Indicator: if chiller stock item then 1 else 0</t>
  </si>
  <si>
    <t xml:space="preserve">Unit price of the stock item </t>
  </si>
  <si>
    <t>Recommended retail price of the stock item</t>
  </si>
  <si>
    <t>Marketing comments of the stock item</t>
  </si>
  <si>
    <t>Any tags for the stock item, enclosed in block brackets, comma separated, and each item, within double quotes</t>
  </si>
  <si>
    <t>Yes, no</t>
  </si>
  <si>
    <t>USB food fla</t>
  </si>
  <si>
    <t>Ride on toy</t>
  </si>
  <si>
    <t>*No colour</t>
  </si>
  <si>
    <t>Black</t>
  </si>
  <si>
    <t>*No brand</t>
  </si>
  <si>
    <t>Northwind</t>
  </si>
  <si>
    <t xml:space="preserve">*No size </t>
  </si>
  <si>
    <t>1/12 scale</t>
  </si>
  <si>
    <t>32.00</t>
  </si>
  <si>
    <t>230.00</t>
  </si>
  <si>
    <t>47.84</t>
  </si>
  <si>
    <t>*No marker</t>
  </si>
  <si>
    <t>Suits child to 20kg</t>
  </si>
  <si>
    <t xml:space="preserve">["32GB", "US </t>
  </si>
  <si>
    <t>["So Realistic"]</t>
  </si>
  <si>
    <t>nvarchar(100)</t>
  </si>
  <si>
    <t>int)</t>
  </si>
  <si>
    <t>*No size</t>
  </si>
  <si>
    <t>*No tags</t>
  </si>
  <si>
    <t>,-1 is the unknown value</t>
  </si>
  <si>
    <t>Yes</t>
  </si>
  <si>
    <t>Source system ID for the customer</t>
  </si>
  <si>
    <t>yes</t>
  </si>
  <si>
    <t>SF_Person!A1</t>
  </si>
  <si>
    <t>SF_Invoice Lines'!A1</t>
  </si>
  <si>
    <t>SF_Stock_Items!A1</t>
  </si>
  <si>
    <t>S1_Person!A1</t>
  </si>
  <si>
    <t>S1_Invoice_Lines!A1</t>
  </si>
  <si>
    <t>Invoice_ID</t>
  </si>
  <si>
    <t>Invoice_Line_ID</t>
  </si>
  <si>
    <t>Invoice_Date</t>
  </si>
  <si>
    <t>Transaction</t>
  </si>
  <si>
    <t>Customer_Key</t>
  </si>
  <si>
    <t>nvarChar(50)</t>
  </si>
  <si>
    <t>*No name</t>
  </si>
  <si>
    <t xml:space="preserve">*No buying group </t>
  </si>
  <si>
    <t>Date the customer account was opened</t>
  </si>
  <si>
    <t>Full name of the saleperson</t>
  </si>
  <si>
    <t>Preferred name of the salesperson</t>
  </si>
  <si>
    <t>1 = employee; 0 = not an employee</t>
  </si>
  <si>
    <t>1 -system user; 0 = not a system user</t>
  </si>
  <si>
    <t>Email address of the salesperson</t>
  </si>
  <si>
    <t>kayla@example.com</t>
  </si>
  <si>
    <t>Name of the stock item for the supplier</t>
  </si>
  <si>
    <t>*Unknow</t>
  </si>
  <si>
    <t>USB food flag</t>
  </si>
  <si>
    <t>Track name changes</t>
  </si>
  <si>
    <t>Supplier_ID</t>
  </si>
  <si>
    <t>Source system ID for the suppler</t>
  </si>
  <si>
    <t>nvarChar(20)</t>
  </si>
  <si>
    <t>Colour of the stock item</t>
  </si>
  <si>
    <t>Brand name of the stock item</t>
  </si>
  <si>
    <t>Size description of the stock item</t>
  </si>
  <si>
    <t xml:space="preserve">1/12 scale </t>
  </si>
  <si>
    <t>1= requires refrigeration; 0 = does not</t>
  </si>
  <si>
    <t>Unit selling price of the stock item</t>
  </si>
  <si>
    <t>Recommended retail price</t>
  </si>
  <si>
    <t>nvarChar(200)</t>
  </si>
  <si>
    <t>Product tags in JSON array format</t>
  </si>
  <si>
    <t>["32GB","USB"]</t>
  </si>
  <si>
    <t>Package_Type_Key</t>
  </si>
  <si>
    <t>Package_Type_ID</t>
  </si>
  <si>
    <t>Package_Type_Name</t>
  </si>
  <si>
    <t>Name of the package type</t>
  </si>
  <si>
    <t>Stock_Item_Key</t>
  </si>
  <si>
    <t>FK to Customer dimension</t>
  </si>
  <si>
    <t>FK to Stock Item dimension</t>
  </si>
  <si>
    <t>FK to Package Type dimension</t>
  </si>
  <si>
    <t>Number of units sold on this invoice line</t>
  </si>
  <si>
    <t>Price per unit at time of sale</t>
  </si>
  <si>
    <t>Tax rate percentage applied</t>
  </si>
  <si>
    <t>Actual tax amount charged</t>
  </si>
  <si>
    <t>Profit for this line — may be negative</t>
  </si>
  <si>
    <t>Quantity × UnitPrice + TaxAmount</t>
  </si>
  <si>
    <t>Fk</t>
  </si>
  <si>
    <t>Invoice_Date_Key</t>
  </si>
  <si>
    <t>FK to Date dimension — invoice date</t>
  </si>
  <si>
    <t>Surrogate primary key for the fact table</t>
  </si>
  <si>
    <t>Pk</t>
  </si>
  <si>
    <t>Date!A1</t>
  </si>
  <si>
    <t>Stock_Item_Dimension!A1</t>
  </si>
  <si>
    <t>Shrunken dim of  Person</t>
  </si>
  <si>
    <t>ROLE:Invoice date</t>
  </si>
  <si>
    <t>Package_Type_Dim</t>
  </si>
  <si>
    <t>SF_Invoice_Line.csv</t>
  </si>
  <si>
    <t>SF_Person.csv</t>
  </si>
  <si>
    <t>Sales person information</t>
  </si>
  <si>
    <t>Sales invoice line information</t>
  </si>
  <si>
    <t>S1_Person</t>
  </si>
  <si>
    <t>S1_Invoice_Lines</t>
  </si>
  <si>
    <t>S1_Stock_Items</t>
  </si>
  <si>
    <t>Day</t>
  </si>
  <si>
    <t>StockItem ID</t>
  </si>
  <si>
    <t>type name</t>
  </si>
  <si>
    <t>static</t>
  </si>
  <si>
    <t>SCD2</t>
  </si>
  <si>
    <t>SCD1</t>
  </si>
  <si>
    <t>Junk</t>
  </si>
  <si>
    <t>Employee ID</t>
  </si>
  <si>
    <t xml:space="preserve">Invoicing </t>
  </si>
  <si>
    <t>Current SCD1</t>
  </si>
  <si>
    <t>Current SDC1</t>
  </si>
  <si>
    <t>FK to Employee dimension</t>
  </si>
  <si>
    <t>Employee_Dim</t>
  </si>
  <si>
    <t>Package_Type_Dim!A1</t>
  </si>
  <si>
    <t>SF_Customer!A1</t>
  </si>
  <si>
    <t>Stock_Item_Dim</t>
  </si>
  <si>
    <t>SCD 2</t>
  </si>
  <si>
    <t>SCD 1</t>
  </si>
  <si>
    <t>Current SCD 1</t>
  </si>
  <si>
    <t>Staging for customer master data including categories and credit limits.</t>
  </si>
  <si>
    <t>WWI_OLTP</t>
  </si>
  <si>
    <t>CSV/Table</t>
  </si>
  <si>
    <t>Staging for transactional invoice line items and calculated pricing.</t>
  </si>
  <si>
    <t>SF_Invoice_Lines</t>
  </si>
  <si>
    <t>Staging for people data including employees, users, and salespeople.</t>
  </si>
  <si>
    <t>SF_Person</t>
  </si>
  <si>
    <t>Staging for inventory items, pricing, and chiller requirements.</t>
  </si>
  <si>
    <t>SF_Stock_Items</t>
  </si>
  <si>
    <t>S1_Invoice_Line</t>
  </si>
  <si>
    <t>v_Stock_Items</t>
  </si>
  <si>
    <t>Displays stock items with formatted prices.</t>
  </si>
  <si>
    <t>One record for each type of packaging</t>
  </si>
  <si>
    <t>Invoicing_Fact</t>
  </si>
  <si>
    <t>One row for each invoice line item</t>
  </si>
  <si>
    <t xml:space="preserve"> SCD Type 2. Each person is a unique entity in the dimension.</t>
  </si>
  <si>
    <t>SCD Type 2. Each stock item is a unique entity in the dimension</t>
  </si>
  <si>
    <t>Employee_Indicator</t>
  </si>
  <si>
    <t>System_User_Indicator</t>
  </si>
  <si>
    <t>Chiller_Stock_Indicator</t>
  </si>
  <si>
    <t>nvarchar(2)</t>
  </si>
  <si>
    <t xml:space="preserve"> SCD Type 2. Each customer is a unique entity in the dimensio</t>
  </si>
  <si>
    <t>Current SCD2</t>
  </si>
  <si>
    <t>Current_Customer_Category</t>
  </si>
  <si>
    <t>Customer_Category</t>
  </si>
  <si>
    <t>Person_FullName</t>
  </si>
  <si>
    <t>Person_PreferredName</t>
  </si>
  <si>
    <t>SystemUser_Indicator</t>
  </si>
  <si>
    <t>Employee_Full_Name</t>
  </si>
  <si>
    <t>Employee_Preferred_Name</t>
  </si>
  <si>
    <t>Employee_Email_Address</t>
  </si>
  <si>
    <t>Employee_ID</t>
  </si>
  <si>
    <t>Stock_Item_Colour</t>
  </si>
  <si>
    <t xml:space="preserve">Stock_Item_Brand </t>
  </si>
  <si>
    <t>Stock_Item_Size</t>
  </si>
  <si>
    <t>Stock_Item_Unit_Price</t>
  </si>
  <si>
    <t>Stock_Item_Tags</t>
  </si>
  <si>
    <t>Employee_Key</t>
  </si>
  <si>
    <t>InvoiceLine_Quantity</t>
  </si>
  <si>
    <t>InvoiceLine_Unit_Price</t>
  </si>
  <si>
    <t>InvoiceLine_Tax_Rate</t>
  </si>
  <si>
    <t>InvoiceLine_Tax_Amount</t>
  </si>
  <si>
    <t>InvoiceLine_Profit</t>
  </si>
  <si>
    <t>InvoiceLine_Extended_Price</t>
  </si>
  <si>
    <t>Current Name of the customer</t>
  </si>
  <si>
    <t>Current Buying group description</t>
  </si>
  <si>
    <t>S2_Customer_Category_Lookup</t>
  </si>
  <si>
    <t>Credit limit of the customer (-1 if none)</t>
  </si>
  <si>
    <t>Customer Category</t>
  </si>
  <si>
    <t>source system ID for the Customer category</t>
  </si>
  <si>
    <t>Novelty Shop</t>
  </si>
  <si>
    <t>Static data imported once</t>
  </si>
  <si>
    <t>Null Allowed?</t>
  </si>
  <si>
    <t xml:space="preserve">No </t>
  </si>
  <si>
    <t>Import Batch Process Task</t>
  </si>
  <si>
    <t xml:space="preserve">FK  </t>
  </si>
  <si>
    <t>Name of the stock item</t>
  </si>
  <si>
    <t>nvarchar(50</t>
  </si>
  <si>
    <t>Invoice_Line_Employee_ID</t>
  </si>
  <si>
    <t>Invoice_Lines_StockItem_ID</t>
  </si>
  <si>
    <t>Invoice_Line_Customer_ID</t>
  </si>
  <si>
    <t>S2_Customer</t>
  </si>
  <si>
    <t>S2_Stock_Items</t>
  </si>
  <si>
    <t>S2_Employee</t>
  </si>
  <si>
    <t>S2_Package_Type</t>
  </si>
  <si>
    <t>S2_Date</t>
  </si>
  <si>
    <t>S2_Invoice_Lines</t>
  </si>
  <si>
    <t>S2_Customer_Lookup</t>
  </si>
  <si>
    <t>v_Employee</t>
  </si>
  <si>
    <t>A simplified view of the Employee table.</t>
  </si>
  <si>
    <t>Customer_Dim</t>
  </si>
  <si>
    <t>ChillerStock_Indicator</t>
  </si>
  <si>
    <t>*No comments</t>
  </si>
  <si>
    <t>Customer_Buying_Group</t>
  </si>
  <si>
    <t xml:space="preserve"> X</t>
  </si>
  <si>
    <t>X</t>
  </si>
  <si>
    <t>Customer</t>
  </si>
  <si>
    <t>Employee</t>
  </si>
  <si>
    <t>Stock_Item</t>
  </si>
  <si>
    <t>Static Date dimension. One record per calendar day</t>
  </si>
  <si>
    <t>SCD Type 2. Each unique customer is an entity in this dimension</t>
  </si>
  <si>
    <t>SCD Type 1. Each unique employee is an entity in this dimension.</t>
  </si>
  <si>
    <t>SCD Type 2. Each unique stock item is an entity in this dimension</t>
  </si>
  <si>
    <t>csv file</t>
  </si>
  <si>
    <t>Date.csv</t>
  </si>
  <si>
    <t>Stage 2</t>
  </si>
  <si>
    <t xml:space="preserve">DB view </t>
  </si>
  <si>
    <t>Package_Type</t>
  </si>
  <si>
    <t>SCD Type 1. Each package type is an entity in this dimension.</t>
  </si>
  <si>
    <t>One row per Invoice Line</t>
  </si>
  <si>
    <t>Lookup table for customer category decode information</t>
  </si>
  <si>
    <t>Customer dimension latest customer sales data</t>
  </si>
  <si>
    <t>Employee dimension latest employee data</t>
  </si>
  <si>
    <t>Stock item dimension latest stock item data</t>
  </si>
  <si>
    <t>Invoicing Fact latest invoice line data</t>
  </si>
  <si>
    <t>Invoice_Lines_PackageType_Name</t>
  </si>
  <si>
    <t>S2_V_Package_Type</t>
  </si>
  <si>
    <t>S2_V_Customer</t>
  </si>
  <si>
    <t>Selects all customer details from the latest IB for each year/month</t>
  </si>
  <si>
    <t>Selcecunique package types from Invoice Lines for each year/month</t>
  </si>
  <si>
    <t>Stage 1</t>
  </si>
  <si>
    <t>Static file</t>
  </si>
  <si>
    <t>Database view</t>
  </si>
  <si>
    <t>S1_V_Customer</t>
  </si>
  <si>
    <t>S1_V_Invoice_Lines</t>
  </si>
  <si>
    <t>S1_V_Person</t>
  </si>
  <si>
    <t>S1_V_Stock_Items</t>
  </si>
  <si>
    <t xml:space="preserve">Selects all customer data </t>
  </si>
  <si>
    <t xml:space="preserve">Selects all Invoice Line data </t>
  </si>
  <si>
    <t>Selects all employee data</t>
  </si>
  <si>
    <t>Selects all stock items data</t>
  </si>
  <si>
    <t>S1_V_Customer_Dim</t>
  </si>
  <si>
    <t>S1_V_Stock Items</t>
  </si>
  <si>
    <t>S1_V_Employee</t>
  </si>
  <si>
    <t>S1_V_Invoice_Line</t>
  </si>
  <si>
    <t>Credit_Limit_Indicator</t>
  </si>
  <si>
    <t>Current name of the customer</t>
  </si>
  <si>
    <t>Buying_Group_Name</t>
  </si>
  <si>
    <t>Current Name of the buying group, * No buying group if none</t>
  </si>
  <si>
    <t>Credit_Limit</t>
  </si>
  <si>
    <t>Has credit or No credit limit</t>
  </si>
  <si>
    <t>No credit limit</t>
  </si>
  <si>
    <t>Current customer category</t>
  </si>
  <si>
    <t>Recommended_Retail_Price</t>
  </si>
  <si>
    <t>nvarChar(100)</t>
  </si>
  <si>
    <t>Marketing_Comments</t>
  </si>
  <si>
    <t xml:space="preserve">S1_Stock_Items </t>
  </si>
  <si>
    <t xml:space="preserve"> SCD Type 1. Each person is a unique entity in the dimension.</t>
  </si>
  <si>
    <t>Junk dimension.One record for each type of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</si>
</sst>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1C09]dd\ mmmm\ yyyy;@"/>
    <numFmt numFmtId="166" formatCode="dddd"/>
  </numFmts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2" tint="-0.499984740745262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i/>
      <sz val="11"/>
      <color rgb="FF0070C0"/>
      <name val="Calibri"/>
      <family val="2"/>
    </font>
    <font>
      <b/>
      <strike/>
      <sz val="11"/>
      <color theme="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i/>
      <sz val="1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0.499984740745262"/>
      </left>
      <right style="thin">
        <color theme="4" tint="0.499984740745262"/>
      </right>
      <top style="thin">
        <color theme="4" tint="0.499984740745262"/>
      </top>
      <bottom style="thin">
        <color theme="4" tint="0.499984740745262"/>
      </bottom>
      <diagonal/>
    </border>
    <border>
      <left/>
      <right/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3" fillId="4" borderId="0" applyNumberFormat="0" applyBorder="0" applyAlignment="0" applyProtection="0"/>
    <xf numFmtId="0" fontId="8" fillId="0" borderId="0"/>
    <xf numFmtId="0" fontId="9" fillId="0" borderId="0"/>
    <xf numFmtId="0" fontId="3" fillId="7" borderId="0" applyNumberFormat="0" applyBorder="0" applyAlignment="0" applyProtection="0"/>
    <xf numFmtId="0" fontId="20" fillId="0" borderId="7"/>
  </cellStyleXfs>
  <cellXfs count="105">
    <xf numFmtId="0" fontId="0" fillId="0" borderId="0" xfId="0"/>
    <xf numFmtId="0" fontId="4" fillId="0" borderId="0" xfId="3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0" borderId="0" xfId="3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1" fillId="2" borderId="0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2" xfId="0" applyFont="1" applyBorder="1"/>
    <xf numFmtId="0" fontId="5" fillId="0" borderId="0" xfId="0" applyFont="1"/>
    <xf numFmtId="0" fontId="6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1" fillId="4" borderId="0" xfId="4" applyFont="1" applyBorder="1" applyAlignment="1">
      <alignment horizontal="left"/>
    </xf>
    <xf numFmtId="0" fontId="7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2" borderId="0" xfId="1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0" fontId="6" fillId="0" borderId="0" xfId="0" applyFont="1" applyAlignment="1">
      <alignment vertical="top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wrapText="1"/>
    </xf>
    <xf numFmtId="0" fontId="0" fillId="6" borderId="0" xfId="0" applyFill="1" applyAlignment="1">
      <alignment horizontal="left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14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164" fontId="13" fillId="0" borderId="0" xfId="0" applyNumberFormat="1" applyFont="1" applyAlignment="1">
      <alignment horizontal="left"/>
    </xf>
    <xf numFmtId="0" fontId="9" fillId="0" borderId="0" xfId="6"/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/>
    </xf>
    <xf numFmtId="0" fontId="4" fillId="0" borderId="0" xfId="3" applyAlignment="1">
      <alignment horizontal="left" vertical="top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 indent="1"/>
    </xf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left" indent="1"/>
    </xf>
    <xf numFmtId="0" fontId="0" fillId="0" borderId="0" xfId="0" applyAlignment="1">
      <alignment horizontal="left" indent="1"/>
    </xf>
    <xf numFmtId="0" fontId="2" fillId="6" borderId="0" xfId="0" applyFont="1" applyFill="1"/>
    <xf numFmtId="0" fontId="4" fillId="0" borderId="4" xfId="3" applyBorder="1" applyAlignment="1">
      <alignment vertical="center" wrapText="1"/>
    </xf>
    <xf numFmtId="164" fontId="0" fillId="0" borderId="0" xfId="0" applyNumberFormat="1" applyAlignment="1">
      <alignment horizontal="left"/>
    </xf>
    <xf numFmtId="0" fontId="4" fillId="0" borderId="0" xfId="3" applyFill="1"/>
    <xf numFmtId="0" fontId="4" fillId="0" borderId="0" xfId="3" quotePrefix="1" applyFill="1" applyBorder="1" applyAlignment="1">
      <alignment vertical="center"/>
    </xf>
    <xf numFmtId="0" fontId="4" fillId="0" borderId="0" xfId="3" applyFill="1" applyAlignment="1">
      <alignment vertical="top"/>
    </xf>
    <xf numFmtId="14" fontId="0" fillId="0" borderId="0" xfId="0" applyNumberFormat="1" applyAlignment="1">
      <alignment horizontal="left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6" fillId="0" borderId="0" xfId="3" applyFont="1"/>
    <xf numFmtId="0" fontId="15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6" fillId="0" borderId="0" xfId="5" applyFont="1" applyAlignment="1">
      <alignment vertical="top"/>
    </xf>
    <xf numFmtId="0" fontId="15" fillId="0" borderId="0" xfId="0" applyFont="1" applyAlignment="1">
      <alignment horizontal="left" vertical="top"/>
    </xf>
    <xf numFmtId="0" fontId="17" fillId="2" borderId="0" xfId="1" applyFont="1" applyBorder="1" applyAlignment="1">
      <alignment horizontal="left" vertical="top" wrapText="1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/>
    </xf>
    <xf numFmtId="14" fontId="4" fillId="0" borderId="0" xfId="3" applyNumberFormat="1" applyAlignment="1">
      <alignment horizontal="left"/>
    </xf>
    <xf numFmtId="1" fontId="0" fillId="0" borderId="0" xfId="0" applyNumberFormat="1" applyAlignment="1">
      <alignment horizontal="left"/>
    </xf>
    <xf numFmtId="0" fontId="4" fillId="0" borderId="0" xfId="3" quotePrefix="1" applyFill="1"/>
    <xf numFmtId="14" fontId="6" fillId="0" borderId="0" xfId="0" applyNumberFormat="1" applyFont="1" applyAlignment="1">
      <alignment horizontal="left" vertical="top"/>
    </xf>
    <xf numFmtId="14" fontId="4" fillId="0" borderId="0" xfId="3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21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8" fillId="0" borderId="0" xfId="5" applyAlignment="1">
      <alignment horizontal="center" vertical="top"/>
    </xf>
    <xf numFmtId="0" fontId="22" fillId="0" borderId="0" xfId="5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8" fillId="0" borderId="0" xfId="5" applyAlignment="1">
      <alignment horizontal="center" vertical="top" wrapText="1"/>
    </xf>
    <xf numFmtId="2" fontId="14" fillId="0" borderId="0" xfId="0" applyNumberFormat="1" applyFont="1" applyAlignment="1">
      <alignment horizontal="left" vertical="top"/>
    </xf>
    <xf numFmtId="0" fontId="6" fillId="0" borderId="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3" quotePrefix="1" applyAlignment="1">
      <alignment vertical="top"/>
    </xf>
    <xf numFmtId="0" fontId="4" fillId="0" borderId="0" xfId="3" applyAlignment="1">
      <alignment wrapText="1"/>
    </xf>
    <xf numFmtId="0" fontId="13" fillId="6" borderId="0" xfId="0" applyFont="1" applyFill="1" applyAlignment="1">
      <alignment horizontal="left"/>
    </xf>
    <xf numFmtId="0" fontId="4" fillId="0" borderId="4" xfId="3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2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7" borderId="1" xfId="7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9">
    <cellStyle name="60% - Accent5" xfId="4" builtinId="48"/>
    <cellStyle name="Accent1" xfId="1" builtinId="29"/>
    <cellStyle name="Accent5" xfId="2" builtinId="45"/>
    <cellStyle name="Accent6" xfId="7" builtinId="49"/>
    <cellStyle name="Heading 1 2" xfId="8" xr:uid="{883C3636-F924-4BD6-A2C9-D8BDC3DBA756}"/>
    <cellStyle name="Hyperlink" xfId="3" builtinId="8"/>
    <cellStyle name="Normal" xfId="0" builtinId="0"/>
    <cellStyle name="Normal 2" xfId="6" xr:uid="{00000000-0005-0000-0000-000006000000}"/>
    <cellStyle name="Normal 3" xfId="5" xr:uid="{00000000-0005-0000-0000-000007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10974318/odrive/Google%20Drive%2010974318/ITRI611/Project/MIS%20Dimensional%20Model.xlsx" TargetMode="External"/><Relationship Id="rId1" Type="http://schemas.openxmlformats.org/officeDocument/2006/relationships/externalLinkPath" Target="/Users/10974318/odrive/Google%20Drive%2010974318/ITRI611/Project/MIS%20Dimensional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s Matrix"/>
      <sheetName val="Organisational Structuring"/>
      <sheetName val="Cesm Assignment"/>
      <sheetName val="Academic Presentation"/>
      <sheetName val="Student Registrations"/>
      <sheetName val="Student Results"/>
      <sheetName val="Student Records"/>
      <sheetName val="School Records"/>
      <sheetName val="Cohort Student Qual Prog"/>
      <sheetName val="Cohort Student Qual"/>
      <sheetName val="Cohort Student"/>
      <sheetName val="Module Cesm Assignment"/>
      <sheetName val="Module Presentation"/>
      <sheetName val="Curriculum Level Structuring"/>
      <sheetName val="Curriculum Structuring"/>
      <sheetName val="Student Learning"/>
      <sheetName val="Student Enrolment Summary"/>
      <sheetName val="Student FTE Enrolment Summary"/>
      <sheetName val="Post Doc Summary"/>
      <sheetName val="Employee_NRF_Summary"/>
      <sheetName val="Employee HEMIS Summary"/>
      <sheetName val="Research Output Summary"/>
      <sheetName val="Employee Assignment"/>
      <sheetName val="Employee HEMIS"/>
      <sheetName val="Employee Timesheet"/>
      <sheetName val="Employee_NRF_Rating"/>
      <sheetName val="Research_Publication_Unit"/>
      <sheetName val="Calendar Day"/>
      <sheetName val="CD Cube"/>
      <sheetName val="Calendar Day Data"/>
      <sheetName val="Calendar Month"/>
      <sheetName val="CM Cube"/>
      <sheetName val="Calendar Year"/>
      <sheetName val="CY Cube"/>
      <sheetName val="Organisational Unit"/>
      <sheetName val="OU Cube"/>
      <sheetName val="Curriculum Level"/>
      <sheetName val="CL Cube"/>
      <sheetName val="Presentation Category"/>
      <sheetName val="PC Cube"/>
      <sheetName val="Residence"/>
      <sheetName val="Academic Result"/>
      <sheetName val="AR Cube"/>
      <sheetName val="Person"/>
      <sheetName val="P Cube"/>
      <sheetName val="Registration Describer"/>
      <sheetName val="RD Cube"/>
      <sheetName val="Biographic Category"/>
      <sheetName val="BC Cube"/>
      <sheetName val="Geographic Region"/>
      <sheetName val="GR Cube"/>
      <sheetName val="Cesm"/>
      <sheetName val="Cesm Cube"/>
      <sheetName val="Cesm data"/>
      <sheetName val="Status"/>
      <sheetName val="S Cube"/>
      <sheetName val="Fact Report Set"/>
      <sheetName val="FRS Cube"/>
      <sheetName val="Module"/>
      <sheetName val="Module_Cube"/>
      <sheetName val="Academic Period"/>
      <sheetName val="AP Cube"/>
      <sheetName val="Language"/>
      <sheetName val="Language Cube"/>
      <sheetName val="Selection Option"/>
      <sheetName val="SO Cube"/>
      <sheetName val="Module Result"/>
      <sheetName val="MR Cube"/>
      <sheetName val="Hierarchy Descriptor"/>
      <sheetName val="HD Cube"/>
      <sheetName val="ELG Cube"/>
      <sheetName val="Position"/>
      <sheetName val="Pos Cube"/>
      <sheetName val="Position_Category"/>
      <sheetName val="PosCat Cube"/>
      <sheetName val="Employment Grade"/>
      <sheetName val="EG Cube"/>
      <sheetName val="Assignment Descriptor"/>
      <sheetName val="AD Cube"/>
      <sheetName val="Appointment Descriptor"/>
      <sheetName val="AppD Cube"/>
      <sheetName val="Education Level Group"/>
      <sheetName val="Hemis Qualification Type"/>
      <sheetName val="Qual Type ranks"/>
      <sheetName val="HQT Cube"/>
      <sheetName val="Assignment Contract_Descriptor"/>
      <sheetName val="ACD Cube"/>
      <sheetName val="IP Enrolment Planned"/>
      <sheetName val="IP Enrolment Actuals"/>
      <sheetName val="IP FTE Projected"/>
      <sheetName val="IP FTE Actuals"/>
      <sheetName val="IP Organisational Unit"/>
      <sheetName val="IP Curriculum Level"/>
      <sheetName val="IP Programme Level"/>
      <sheetName val="IP Module Education Level"/>
      <sheetName val="IP CESM Grouping"/>
      <sheetName val="IP Cycle Year"/>
      <sheetName val="IPCY Cube"/>
      <sheetName val="IP Cycle Year Data"/>
      <sheetName val="NRF Rating Category"/>
      <sheetName val="NRF Rating Cat Cube"/>
      <sheetName val="NRF Rating Summary"/>
      <sheetName val="Publication"/>
      <sheetName val="Publication Cube"/>
      <sheetName val="Research Output Type"/>
      <sheetName val="ROT Cube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658BA4-980B-464D-9BA8-698B41F17A2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695a00a-cf97-4a9f-97c3-9ba852db325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kayla@example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mailto:vitalijs@example.com" TargetMode="External"/><Relationship Id="rId1" Type="http://schemas.openxmlformats.org/officeDocument/2006/relationships/hyperlink" Target="mailto:kaylaw@wideworldimporters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mailto:fortuinthapel0@gmail.com" TargetMode="External"/><Relationship Id="rId1" Type="http://schemas.openxmlformats.org/officeDocument/2006/relationships/hyperlink" Target="mailto:thapelofortuin@gmail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kayla@example.com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1"/>
  <sheetViews>
    <sheetView showOutlineSymbols="0" workbookViewId="0"/>
  </sheetViews>
  <sheetFormatPr defaultRowHeight="15" x14ac:dyDescent="0.25"/>
  <cols>
    <col min="1" max="1" width="1.85546875" customWidth="1"/>
    <col min="2" max="2" width="19.7109375" bestFit="1" customWidth="1"/>
    <col min="3" max="3" width="35.5703125" bestFit="1" customWidth="1"/>
    <col min="4" max="4" width="12.7109375" bestFit="1" customWidth="1"/>
  </cols>
  <sheetData>
    <row r="1" spans="2:4" x14ac:dyDescent="0.25">
      <c r="B1" s="1" t="s">
        <v>131</v>
      </c>
    </row>
    <row r="2" spans="2:4" x14ac:dyDescent="0.25">
      <c r="B2" s="1" t="s">
        <v>76</v>
      </c>
    </row>
    <row r="3" spans="2:4" x14ac:dyDescent="0.25">
      <c r="B3" s="1"/>
    </row>
    <row r="4" spans="2:4" x14ac:dyDescent="0.25">
      <c r="B4" s="1" t="s">
        <v>174</v>
      </c>
      <c r="C4" s="17" t="s">
        <v>77</v>
      </c>
    </row>
    <row r="5" spans="2:4" x14ac:dyDescent="0.25">
      <c r="C5" s="63" t="s">
        <v>42</v>
      </c>
      <c r="D5" s="1"/>
    </row>
    <row r="6" spans="2:4" x14ac:dyDescent="0.25">
      <c r="C6" s="63" t="s">
        <v>550</v>
      </c>
    </row>
    <row r="7" spans="2:4" x14ac:dyDescent="0.25">
      <c r="C7" s="63" t="s">
        <v>476</v>
      </c>
    </row>
    <row r="8" spans="2:4" x14ac:dyDescent="0.25">
      <c r="C8" s="63" t="s">
        <v>453</v>
      </c>
    </row>
    <row r="9" spans="2:4" x14ac:dyDescent="0.25">
      <c r="C9" s="1" t="s">
        <v>473</v>
      </c>
    </row>
    <row r="10" spans="2:4" x14ac:dyDescent="0.25">
      <c r="C10" s="17" t="s">
        <v>39</v>
      </c>
    </row>
    <row r="11" spans="2:4" x14ac:dyDescent="0.25">
      <c r="C11" s="64" t="s">
        <v>493</v>
      </c>
    </row>
    <row r="12" spans="2:4" x14ac:dyDescent="0.25">
      <c r="C12" s="64"/>
    </row>
    <row r="13" spans="2:4" x14ac:dyDescent="0.25">
      <c r="B13" s="1" t="s">
        <v>0</v>
      </c>
      <c r="C13" s="65"/>
    </row>
    <row r="14" spans="2:4" x14ac:dyDescent="0.25">
      <c r="C14" s="5" t="s">
        <v>244</v>
      </c>
    </row>
    <row r="15" spans="2:4" x14ac:dyDescent="0.25">
      <c r="C15" s="63" t="s">
        <v>393</v>
      </c>
    </row>
    <row r="16" spans="2:4" x14ac:dyDescent="0.25">
      <c r="C16" s="83" t="s">
        <v>394</v>
      </c>
    </row>
    <row r="17" spans="2:3" x14ac:dyDescent="0.25">
      <c r="C17" s="63" t="s">
        <v>395</v>
      </c>
    </row>
    <row r="18" spans="2:3" x14ac:dyDescent="0.25">
      <c r="B18" s="1" t="s">
        <v>144</v>
      </c>
      <c r="C18" t="s">
        <v>164</v>
      </c>
    </row>
    <row r="19" spans="2:3" x14ac:dyDescent="0.25">
      <c r="C19" s="63" t="s">
        <v>274</v>
      </c>
    </row>
    <row r="20" spans="2:3" x14ac:dyDescent="0.25">
      <c r="C20" s="63" t="s">
        <v>396</v>
      </c>
    </row>
    <row r="21" spans="2:3" x14ac:dyDescent="0.25">
      <c r="C21" s="63" t="s">
        <v>397</v>
      </c>
    </row>
    <row r="22" spans="2:3" x14ac:dyDescent="0.25">
      <c r="C22" s="63" t="s">
        <v>606</v>
      </c>
    </row>
    <row r="23" spans="2:3" x14ac:dyDescent="0.25">
      <c r="B23" s="1" t="s">
        <v>166</v>
      </c>
      <c r="C23" t="s">
        <v>164</v>
      </c>
    </row>
    <row r="24" spans="2:3" x14ac:dyDescent="0.25">
      <c r="C24" s="1" t="s">
        <v>526</v>
      </c>
    </row>
    <row r="25" spans="2:3" x14ac:dyDescent="0.25">
      <c r="C25" s="63" t="s">
        <v>541</v>
      </c>
    </row>
    <row r="26" spans="2:3" x14ac:dyDescent="0.25">
      <c r="C26" s="63" t="s">
        <v>542</v>
      </c>
    </row>
    <row r="27" spans="2:3" x14ac:dyDescent="0.25">
      <c r="C27" s="63" t="s">
        <v>543</v>
      </c>
    </row>
    <row r="28" spans="2:3" x14ac:dyDescent="0.25">
      <c r="C28" s="63" t="s">
        <v>544</v>
      </c>
    </row>
    <row r="29" spans="2:3" x14ac:dyDescent="0.25">
      <c r="C29" s="83" t="s">
        <v>545</v>
      </c>
    </row>
    <row r="30" spans="2:3" x14ac:dyDescent="0.25">
      <c r="C30" s="63" t="s">
        <v>546</v>
      </c>
    </row>
    <row r="31" spans="2:3" x14ac:dyDescent="0.25">
      <c r="B31" s="1" t="s">
        <v>213</v>
      </c>
    </row>
  </sheetData>
  <hyperlinks>
    <hyperlink ref="B13" location="'Source Files'!A1" display="Source Files" xr:uid="{00000000-0004-0000-0000-000000000000}"/>
    <hyperlink ref="B18" location="Stage1!A1" display="Stage1" xr:uid="{00000000-0004-0000-0000-000001000000}"/>
    <hyperlink ref="B2" location="'Bus Matrix'!A1" display="Bus Matrix" xr:uid="{00000000-0004-0000-0000-000002000000}"/>
    <hyperlink ref="C5" location="Invoice_Date!A1" display="Date" xr:uid="{00000000-0004-0000-0000-000003000000}"/>
    <hyperlink ref="B23" location="Stage2!A1" display="Stage2 database" xr:uid="{00000000-0004-0000-0000-000004000000}"/>
    <hyperlink ref="B1" location="'Naming Conventions'!A1" display="Naming Conventions" xr:uid="{00000000-0004-0000-0000-000006000000}"/>
    <hyperlink ref="B4" location="AtomicDW!A1" display="AtomicDW" xr:uid="{00000000-0004-0000-0000-00000F000000}"/>
    <hyperlink ref="C14" location="SF_Customer!A1" display="SF_Customer" xr:uid="{778FCE02-3057-4A9E-BB60-FC8D68DCAA17}"/>
    <hyperlink ref="C19" location="S1_Customer!A1" display="S1_Customer" xr:uid="{ABBE84D5-FC69-4F56-B4CE-350190DC8A47}"/>
    <hyperlink ref="C15" location="SF_Person!A1" display="SF_Person!A1" xr:uid="{A48EC829-50A4-4C94-8185-44281ADABCA5}"/>
    <hyperlink ref="C16" location="'SF_Invoice Lines'!A1" display="'SF_Invoice Lines'!A1" xr:uid="{154C5EF7-EA79-45D0-83CD-3F6EB6B9574D}"/>
    <hyperlink ref="C17" location="SF_Stock_Items!A1" display="SF_Stock_Items!A1" xr:uid="{1A85EAD2-CF59-4A0F-9F64-A2211DA62BA3}"/>
    <hyperlink ref="C20" location="S1_Person!A1" display="S1_Person!A1" xr:uid="{3F510123-E441-4DAF-94C6-C1898E49AF02}"/>
    <hyperlink ref="C21" location="S1_Invoice_Lines!A1" display="S1_Invoice_Lines!A1" xr:uid="{3DC84827-9D8B-444E-B361-FBBBED68BACB}"/>
    <hyperlink ref="C22" location="'S1_Stock_Items '!A1" display="S1_Stock_Items " xr:uid="{DDABCC6F-3153-4698-8C0E-35853F280B70}"/>
    <hyperlink ref="C6" location="Customer_Dim!A1" display="Customer_Dim" xr:uid="{D37E4532-2ED5-43BB-BA0B-EC21C12F3B2D}"/>
    <hyperlink ref="C9" location="Employee_Dim!A1" display="Employee_Dim" xr:uid="{588FAB25-0AE9-4CC8-9E82-E141CC38C68C}"/>
    <hyperlink ref="C7" location="Stock_Item_Dim!A1" display="Stock_Item_Dim" xr:uid="{56B420F2-905D-4D81-8BA6-50172738CD6F}"/>
    <hyperlink ref="C8" location="Package_Type_Dim!A1" display="Package_Type_Dim" xr:uid="{6AD391FD-6C44-41DA-BE81-18C1C4E8E848}"/>
    <hyperlink ref="C11" location="Invoicing_Fact!A1" display="Invoicing_Fact" xr:uid="{AD695ED2-7046-4083-8239-1E93B62F6A00}"/>
    <hyperlink ref="C24" location="S2_Customer_Category_Lookup!A1" display="S2_Customer_Category_Lookup" xr:uid="{D7C37C58-CA32-464A-8EC3-ACC014DEEC29}"/>
    <hyperlink ref="C25" location="S2_Customer!A1" display="S2_Customer" xr:uid="{97D59D7B-F515-425C-882B-56B1FC876C5E}"/>
    <hyperlink ref="C26" location="S2_Stock_Items!A1" display="S2_Stock_Items" xr:uid="{E719224E-D2E0-4C9B-8059-9835D58A20CC}"/>
    <hyperlink ref="C27" location="S2_Employee!A1" display="S2_Employee" xr:uid="{40689767-D056-45CE-8DDE-2D4C7E1AF36C}"/>
    <hyperlink ref="B31" location="'Process Metadata'!A1" display="Metadata tables" xr:uid="{00000000-0004-0000-0000-000010000000}"/>
    <hyperlink ref="C28" location="S2_Package_Type!A1" display="S2_Package_Type" xr:uid="{396E5EDD-1BB3-42F6-B774-1AFDED513AA6}"/>
    <hyperlink ref="C29" location="'S2_Date '!A1" display="'S2_Date" xr:uid="{65BBC9F3-A5D6-4D8A-BBA7-D286418964D4}"/>
    <hyperlink ref="C30" location="S2_Invoice_Lines!A1" display="S2_Invoice_Lines" xr:uid="{4667DCC4-3ED5-41E1-B50A-995568F55292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showOutlineSymbols="0" workbookViewId="0"/>
  </sheetViews>
  <sheetFormatPr defaultRowHeight="15" x14ac:dyDescent="0.25"/>
  <cols>
    <col min="1" max="1" width="18.42578125" bestFit="1" customWidth="1"/>
    <col min="2" max="2" width="28.140625" style="52" bestFit="1" customWidth="1"/>
    <col min="3" max="3" width="62.28515625" bestFit="1" customWidth="1"/>
    <col min="4" max="4" width="26.42578125" customWidth="1"/>
  </cols>
  <sheetData>
    <row r="1" spans="1:3" x14ac:dyDescent="0.25">
      <c r="A1" s="5" t="s">
        <v>5</v>
      </c>
    </row>
    <row r="3" spans="1:3" s="53" customFormat="1" x14ac:dyDescent="0.25">
      <c r="A3" s="53" t="s">
        <v>0</v>
      </c>
      <c r="B3" s="54" t="s">
        <v>143</v>
      </c>
      <c r="C3" s="55" t="s">
        <v>151</v>
      </c>
    </row>
    <row r="4" spans="1:3" s="56" customFormat="1" x14ac:dyDescent="0.25">
      <c r="A4" s="56" t="s">
        <v>232</v>
      </c>
      <c r="B4" s="57" t="s">
        <v>114</v>
      </c>
      <c r="C4" s="58" t="s">
        <v>231</v>
      </c>
    </row>
    <row r="6" spans="1:3" s="53" customFormat="1" x14ac:dyDescent="0.25">
      <c r="A6" s="53" t="s">
        <v>188</v>
      </c>
      <c r="B6" s="54" t="s">
        <v>143</v>
      </c>
      <c r="C6" s="55" t="s">
        <v>189</v>
      </c>
    </row>
    <row r="7" spans="1:3" s="56" customFormat="1" x14ac:dyDescent="0.25">
      <c r="B7" s="57" t="s">
        <v>114</v>
      </c>
      <c r="C7" s="58" t="s">
        <v>190</v>
      </c>
    </row>
    <row r="9" spans="1:3" s="53" customFormat="1" x14ac:dyDescent="0.25">
      <c r="A9" s="53" t="s">
        <v>191</v>
      </c>
      <c r="B9" s="54" t="s">
        <v>143</v>
      </c>
      <c r="C9" s="55" t="s">
        <v>192</v>
      </c>
    </row>
    <row r="10" spans="1:3" s="56" customFormat="1" x14ac:dyDescent="0.25">
      <c r="B10" s="57" t="s">
        <v>114</v>
      </c>
      <c r="C10" s="58" t="s">
        <v>193</v>
      </c>
    </row>
    <row r="12" spans="1:3" s="53" customFormat="1" x14ac:dyDescent="0.25">
      <c r="A12" s="53" t="s">
        <v>144</v>
      </c>
      <c r="B12" s="54" t="s">
        <v>145</v>
      </c>
      <c r="C12" s="55" t="s">
        <v>146</v>
      </c>
    </row>
    <row r="13" spans="1:3" x14ac:dyDescent="0.25">
      <c r="B13" s="52" t="s">
        <v>203</v>
      </c>
      <c r="C13" s="59" t="s">
        <v>204</v>
      </c>
    </row>
    <row r="14" spans="1:3" x14ac:dyDescent="0.25">
      <c r="B14" s="52" t="s">
        <v>147</v>
      </c>
      <c r="C14" s="59" t="s">
        <v>233</v>
      </c>
    </row>
    <row r="15" spans="1:3" s="56" customFormat="1" x14ac:dyDescent="0.25">
      <c r="B15" s="57" t="s">
        <v>152</v>
      </c>
      <c r="C15" s="58" t="s">
        <v>234</v>
      </c>
    </row>
    <row r="17" spans="1:3" s="53" customFormat="1" x14ac:dyDescent="0.25">
      <c r="A17" s="53" t="s">
        <v>166</v>
      </c>
      <c r="B17" s="54" t="s">
        <v>145</v>
      </c>
      <c r="C17" s="55" t="s">
        <v>165</v>
      </c>
    </row>
    <row r="18" spans="1:3" x14ac:dyDescent="0.25">
      <c r="B18" s="52" t="s">
        <v>203</v>
      </c>
      <c r="C18" s="59" t="s">
        <v>205</v>
      </c>
    </row>
    <row r="19" spans="1:3" x14ac:dyDescent="0.25">
      <c r="B19" s="52" t="s">
        <v>147</v>
      </c>
      <c r="C19" s="59" t="s">
        <v>235</v>
      </c>
    </row>
    <row r="20" spans="1:3" s="56" customFormat="1" x14ac:dyDescent="0.25">
      <c r="B20" s="57" t="s">
        <v>152</v>
      </c>
      <c r="C20" s="58" t="s">
        <v>236</v>
      </c>
    </row>
    <row r="22" spans="1:3" s="53" customFormat="1" x14ac:dyDescent="0.25">
      <c r="A22" s="53" t="s">
        <v>211</v>
      </c>
      <c r="B22" s="54" t="s">
        <v>145</v>
      </c>
      <c r="C22" s="55" t="s">
        <v>174</v>
      </c>
    </row>
    <row r="23" spans="1:3" x14ac:dyDescent="0.25">
      <c r="A23" t="s">
        <v>212</v>
      </c>
      <c r="B23" s="52" t="s">
        <v>203</v>
      </c>
      <c r="C23" s="59" t="s">
        <v>206</v>
      </c>
    </row>
    <row r="24" spans="1:3" x14ac:dyDescent="0.25">
      <c r="B24" s="52" t="s">
        <v>194</v>
      </c>
      <c r="C24" s="59" t="s">
        <v>195</v>
      </c>
    </row>
    <row r="25" spans="1:3" x14ac:dyDescent="0.25">
      <c r="B25" s="52" t="s">
        <v>196</v>
      </c>
      <c r="C25" s="59" t="s">
        <v>197</v>
      </c>
    </row>
    <row r="26" spans="1:3" s="56" customFormat="1" x14ac:dyDescent="0.25">
      <c r="B26" s="57" t="s">
        <v>152</v>
      </c>
      <c r="C26" s="58" t="s">
        <v>237</v>
      </c>
    </row>
    <row r="28" spans="1:3" s="53" customFormat="1" x14ac:dyDescent="0.25">
      <c r="A28" s="53" t="s">
        <v>198</v>
      </c>
      <c r="B28" s="54" t="s">
        <v>199</v>
      </c>
      <c r="C28" s="55" t="s">
        <v>200</v>
      </c>
    </row>
    <row r="29" spans="1:3" x14ac:dyDescent="0.25">
      <c r="B29" s="52" t="s">
        <v>201</v>
      </c>
      <c r="C29" s="59" t="s">
        <v>202</v>
      </c>
    </row>
    <row r="30" spans="1:3" x14ac:dyDescent="0.25">
      <c r="B30" s="52" t="s">
        <v>207</v>
      </c>
      <c r="C30" s="59" t="s">
        <v>208</v>
      </c>
    </row>
    <row r="31" spans="1:3" s="56" customFormat="1" x14ac:dyDescent="0.25">
      <c r="B31" s="57" t="s">
        <v>209</v>
      </c>
      <c r="C31" s="58" t="s">
        <v>210</v>
      </c>
    </row>
  </sheetData>
  <hyperlinks>
    <hyperlink ref="A1" location="Index!A1" display="Index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5"/>
  <sheetViews>
    <sheetView showOutlineSymbols="0" zoomScale="130" zoomScaleNormal="130" workbookViewId="0">
      <selection activeCell="G9" sqref="G9"/>
    </sheetView>
  </sheetViews>
  <sheetFormatPr defaultColWidth="9.140625" defaultRowHeight="15" x14ac:dyDescent="0.25"/>
  <cols>
    <col min="1" max="1" width="8.85546875" style="18" bestFit="1" customWidth="1"/>
    <col min="2" max="2" width="13" style="18" customWidth="1"/>
    <col min="3" max="3" width="16.85546875" style="18" bestFit="1" customWidth="1"/>
    <col min="4" max="4" width="18" style="18" customWidth="1"/>
    <col min="5" max="5" width="22.140625" style="18" bestFit="1" customWidth="1"/>
    <col min="6" max="6" width="15" style="19" customWidth="1"/>
    <col min="7" max="7" width="16.42578125" style="18" customWidth="1"/>
    <col min="8" max="8" width="15" style="18" bestFit="1" customWidth="1"/>
    <col min="9" max="9" width="20.42578125" style="18" customWidth="1"/>
    <col min="10" max="10" width="24.7109375" style="18" customWidth="1"/>
    <col min="11" max="16384" width="9.140625" style="18"/>
  </cols>
  <sheetData>
    <row r="1" spans="2:10" ht="37.5" customHeight="1" x14ac:dyDescent="0.25">
      <c r="B1" s="5" t="s">
        <v>5</v>
      </c>
    </row>
    <row r="2" spans="2:10" ht="30" x14ac:dyDescent="0.25">
      <c r="E2" s="20" t="s">
        <v>112</v>
      </c>
      <c r="F2" s="98" t="s">
        <v>400</v>
      </c>
      <c r="G2" s="61" t="s">
        <v>550</v>
      </c>
      <c r="H2" s="61" t="s">
        <v>473</v>
      </c>
      <c r="I2" s="61" t="s">
        <v>476</v>
      </c>
      <c r="J2" s="61" t="s">
        <v>453</v>
      </c>
    </row>
    <row r="3" spans="2:10" ht="32.85" customHeight="1" x14ac:dyDescent="0.25">
      <c r="E3" s="20" t="s">
        <v>37</v>
      </c>
      <c r="F3" s="68" t="s">
        <v>464</v>
      </c>
      <c r="G3" s="67" t="s">
        <v>465</v>
      </c>
      <c r="H3" s="67" t="s">
        <v>466</v>
      </c>
      <c r="I3" s="67" t="s">
        <v>465</v>
      </c>
      <c r="J3" s="67" t="s">
        <v>467</v>
      </c>
    </row>
    <row r="4" spans="2:10" ht="30" x14ac:dyDescent="0.25">
      <c r="B4" s="21" t="s">
        <v>38</v>
      </c>
      <c r="C4" s="21" t="s">
        <v>113</v>
      </c>
      <c r="D4" s="21" t="s">
        <v>40</v>
      </c>
      <c r="E4" s="22" t="s">
        <v>41</v>
      </c>
      <c r="F4" s="45" t="s">
        <v>461</v>
      </c>
      <c r="G4" s="67" t="s">
        <v>241</v>
      </c>
      <c r="H4" s="67" t="s">
        <v>468</v>
      </c>
      <c r="I4" s="67" t="s">
        <v>462</v>
      </c>
      <c r="J4" s="67" t="s">
        <v>463</v>
      </c>
    </row>
    <row r="5" spans="2:10" ht="45.75" customHeight="1" x14ac:dyDescent="0.25">
      <c r="B5" s="69" t="s">
        <v>469</v>
      </c>
      <c r="C5" s="63" t="s">
        <v>493</v>
      </c>
      <c r="D5" s="69" t="s">
        <v>401</v>
      </c>
      <c r="E5" s="70" t="s">
        <v>494</v>
      </c>
      <c r="F5" s="99" t="s">
        <v>554</v>
      </c>
      <c r="G5" s="94" t="s">
        <v>555</v>
      </c>
      <c r="H5" s="94" t="s">
        <v>555</v>
      </c>
      <c r="I5" s="94" t="s">
        <v>555</v>
      </c>
      <c r="J5" s="94" t="s">
        <v>555</v>
      </c>
    </row>
  </sheetData>
  <phoneticPr fontId="23" type="noConversion"/>
  <hyperlinks>
    <hyperlink ref="F2" location="Date!A1" display="Invoice_Date" xr:uid="{00000000-0004-0000-0200-000000000000}"/>
    <hyperlink ref="B1" location="Index!A1" display="Index" xr:uid="{00000000-0004-0000-0200-000003000000}"/>
    <hyperlink ref="C5" location="Invoicing_Fact!A1" display="Invoicing_Fact" xr:uid="{6C08E896-9B86-4ACF-A704-C858610844BE}"/>
    <hyperlink ref="G2" location="Customer_Dim!A1" display="Customer_Dim" xr:uid="{D126427B-12EB-4247-A955-B1100D3B81AA}"/>
    <hyperlink ref="H2" location="Employee_Dim!A1" display="Employee_Dim" xr:uid="{570939F8-61A8-4749-AC57-59D26028B885}"/>
    <hyperlink ref="I2" location="Stock_Item_Dim!A1" display="Stock_Item_Dim" xr:uid="{DF17EFB0-4D2E-473F-A8ED-3D54C71061EE}"/>
    <hyperlink ref="J2" location="Package_Type_Dim!A1" display="Package_Type_Dim" xr:uid="{B028EE9F-CCF9-4375-A377-970BF5A16E82}"/>
  </hyperlinks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showOutlineSymbols="0" workbookViewId="0"/>
  </sheetViews>
  <sheetFormatPr defaultRowHeight="15" x14ac:dyDescent="0.25"/>
  <cols>
    <col min="1" max="1" width="31.42578125" customWidth="1"/>
    <col min="2" max="2" width="58.28515625" bestFit="1" customWidth="1"/>
    <col min="3" max="3" width="33.85546875" customWidth="1"/>
    <col min="4" max="4" width="11.42578125" bestFit="1" customWidth="1"/>
    <col min="5" max="5" width="23.140625" customWidth="1"/>
    <col min="6" max="6" width="19" bestFit="1" customWidth="1"/>
    <col min="7" max="7" width="17.85546875" customWidth="1"/>
  </cols>
  <sheetData>
    <row r="1" spans="1:6" x14ac:dyDescent="0.25">
      <c r="A1" s="5" t="s">
        <v>5</v>
      </c>
    </row>
    <row r="2" spans="1:6" x14ac:dyDescent="0.25">
      <c r="A2" t="s">
        <v>175</v>
      </c>
    </row>
    <row r="3" spans="1:6" x14ac:dyDescent="0.25">
      <c r="A3" t="s">
        <v>176</v>
      </c>
    </row>
    <row r="4" spans="1:6" x14ac:dyDescent="0.25">
      <c r="A4" t="s">
        <v>177</v>
      </c>
    </row>
    <row r="7" spans="1:6" x14ac:dyDescent="0.25">
      <c r="A7" s="100" t="s">
        <v>14</v>
      </c>
      <c r="B7" s="100"/>
      <c r="C7" s="100"/>
      <c r="D7" s="100"/>
      <c r="E7" s="100"/>
      <c r="F7" s="100"/>
    </row>
    <row r="8" spans="1:6" x14ac:dyDescent="0.25">
      <c r="A8" s="11" t="s">
        <v>21</v>
      </c>
      <c r="B8" s="11" t="s">
        <v>7</v>
      </c>
      <c r="C8" s="11" t="s">
        <v>2</v>
      </c>
      <c r="D8" s="11" t="s">
        <v>22</v>
      </c>
      <c r="E8" s="6" t="s">
        <v>6</v>
      </c>
      <c r="F8" s="11"/>
    </row>
    <row r="9" spans="1:6" x14ac:dyDescent="0.25">
      <c r="A9" s="1" t="s">
        <v>42</v>
      </c>
      <c r="B9" t="s">
        <v>559</v>
      </c>
      <c r="C9" s="1" t="s">
        <v>182</v>
      </c>
      <c r="D9" t="s">
        <v>563</v>
      </c>
      <c r="E9" s="47" t="s">
        <v>564</v>
      </c>
    </row>
    <row r="10" spans="1:6" x14ac:dyDescent="0.25">
      <c r="A10" s="1" t="s">
        <v>556</v>
      </c>
      <c r="B10" t="s">
        <v>560</v>
      </c>
      <c r="C10" s="71" t="s">
        <v>565</v>
      </c>
      <c r="D10" t="s">
        <v>566</v>
      </c>
      <c r="E10" s="47"/>
    </row>
    <row r="11" spans="1:6" x14ac:dyDescent="0.25">
      <c r="A11" s="1" t="s">
        <v>557</v>
      </c>
      <c r="B11" t="s">
        <v>561</v>
      </c>
      <c r="C11" s="71" t="s">
        <v>565</v>
      </c>
      <c r="D11" t="s">
        <v>566</v>
      </c>
      <c r="E11" s="47"/>
    </row>
    <row r="12" spans="1:6" x14ac:dyDescent="0.25">
      <c r="A12" s="1" t="s">
        <v>558</v>
      </c>
      <c r="B12" t="s">
        <v>562</v>
      </c>
      <c r="C12" s="71" t="s">
        <v>565</v>
      </c>
      <c r="D12" t="s">
        <v>566</v>
      </c>
    </row>
    <row r="13" spans="1:6" x14ac:dyDescent="0.25">
      <c r="A13" s="1" t="s">
        <v>567</v>
      </c>
      <c r="B13" t="s">
        <v>568</v>
      </c>
      <c r="C13" s="71" t="s">
        <v>565</v>
      </c>
      <c r="D13" t="s">
        <v>566</v>
      </c>
    </row>
    <row r="14" spans="1:6" x14ac:dyDescent="0.25">
      <c r="A14" s="1" t="s">
        <v>493</v>
      </c>
      <c r="B14" t="s">
        <v>569</v>
      </c>
      <c r="C14" s="71" t="s">
        <v>565</v>
      </c>
      <c r="D14" t="s">
        <v>566</v>
      </c>
    </row>
    <row r="15" spans="1:6" ht="15.75" thickBot="1" x14ac:dyDescent="0.3">
      <c r="A15" s="100" t="s">
        <v>173</v>
      </c>
      <c r="B15" s="100"/>
      <c r="C15" s="100"/>
      <c r="D15" s="100"/>
      <c r="E15" s="100"/>
      <c r="F15" s="100"/>
    </row>
    <row r="16" spans="1:6" ht="15.75" thickTop="1" x14ac:dyDescent="0.25">
      <c r="A16" s="11" t="s">
        <v>21</v>
      </c>
      <c r="B16" s="11" t="s">
        <v>7</v>
      </c>
      <c r="C16" s="101" t="s">
        <v>163</v>
      </c>
      <c r="D16" s="101"/>
      <c r="E16" s="101"/>
      <c r="F16" s="11"/>
    </row>
    <row r="17" spans="1:6" x14ac:dyDescent="0.25">
      <c r="A17" t="s">
        <v>186</v>
      </c>
      <c r="B17" t="s">
        <v>187</v>
      </c>
      <c r="C17" s="1" t="s">
        <v>42</v>
      </c>
    </row>
    <row r="18" spans="1:6" x14ac:dyDescent="0.25">
      <c r="C18" s="1"/>
    </row>
    <row r="19" spans="1:6" x14ac:dyDescent="0.25">
      <c r="C19" s="1"/>
    </row>
    <row r="20" spans="1:6" x14ac:dyDescent="0.25">
      <c r="B20" s="2"/>
    </row>
    <row r="22" spans="1:6" ht="15.75" thickBot="1" x14ac:dyDescent="0.3">
      <c r="A22" s="102" t="s">
        <v>24</v>
      </c>
      <c r="B22" s="102"/>
      <c r="C22" s="102"/>
      <c r="D22" s="102"/>
      <c r="E22" s="102"/>
      <c r="F22" s="102"/>
    </row>
    <row r="23" spans="1:6" ht="15.75" thickTop="1" x14ac:dyDescent="0.25">
      <c r="A23" s="8" t="s">
        <v>21</v>
      </c>
      <c r="B23" s="8" t="s">
        <v>7</v>
      </c>
      <c r="C23" s="101" t="s">
        <v>172</v>
      </c>
      <c r="D23" s="101"/>
      <c r="E23" s="101"/>
      <c r="F23" s="8" t="s">
        <v>23</v>
      </c>
    </row>
    <row r="24" spans="1:6" x14ac:dyDescent="0.25">
      <c r="A24" s="1" t="s">
        <v>25</v>
      </c>
      <c r="B24" t="s">
        <v>33</v>
      </c>
      <c r="C24" t="s">
        <v>181</v>
      </c>
      <c r="F24" t="s">
        <v>26</v>
      </c>
    </row>
    <row r="25" spans="1:6" x14ac:dyDescent="0.25">
      <c r="A25" s="1" t="s">
        <v>27</v>
      </c>
      <c r="B25" t="s">
        <v>28</v>
      </c>
      <c r="C25" s="2" t="s">
        <v>230</v>
      </c>
      <c r="F25" t="s">
        <v>29</v>
      </c>
    </row>
    <row r="26" spans="1:6" x14ac:dyDescent="0.25">
      <c r="A26" s="1" t="s">
        <v>30</v>
      </c>
      <c r="B26" t="s">
        <v>31</v>
      </c>
      <c r="C26" s="2" t="s">
        <v>230</v>
      </c>
      <c r="F26" t="s">
        <v>32</v>
      </c>
    </row>
  </sheetData>
  <mergeCells count="5">
    <mergeCell ref="A7:F7"/>
    <mergeCell ref="A15:F15"/>
    <mergeCell ref="C16:E16"/>
    <mergeCell ref="A22:F22"/>
    <mergeCell ref="C23:E23"/>
  </mergeCells>
  <phoneticPr fontId="23" type="noConversion"/>
  <hyperlinks>
    <hyperlink ref="A1" location="Index!A1" display="Index" xr:uid="{00000000-0004-0000-0B00-000000000000}"/>
    <hyperlink ref="A24" location="'Process Metadata'!A5" display="Import_Batch" xr:uid="{00000000-0004-0000-0B00-000001000000}"/>
    <hyperlink ref="A25" location="'Process Metadata'!A16" display="Import_Batch_Process" xr:uid="{00000000-0004-0000-0B00-000002000000}"/>
    <hyperlink ref="A26" location="'Process Metadata'!A25" display="Import_Batch_Process_Task" xr:uid="{00000000-0004-0000-0B00-000003000000}"/>
    <hyperlink ref="A9" location="Invoice_Date!A1" display="Date" xr:uid="{00000000-0004-0000-0B00-000004000000}"/>
    <hyperlink ref="C9" location="'Date records'!A1" display="Custom created Date records" xr:uid="{00000000-0004-0000-0B00-000005000000}"/>
    <hyperlink ref="C17" location="Date!A1" display="Date" xr:uid="{8DCD3C17-CC18-4147-9789-42D78458196C}"/>
    <hyperlink ref="A10" location="Customer_Dim!A1" display="Customer" xr:uid="{C3376A2B-8E65-4AFD-AD97-7E84F202D456}"/>
    <hyperlink ref="A11" location="Employee_Dim!A1" display="Employee" xr:uid="{D2D6A0C2-2859-4B43-84AB-8A8541898CC4}"/>
    <hyperlink ref="A12" location="Stock_Item_Dim!A1" display="Stock_Item" xr:uid="{830D214C-5C6C-4A9E-9D49-D31F8FCBE6DB}"/>
    <hyperlink ref="A13" location="Package_Type_Dim!A1" display="Package_Type" xr:uid="{7F8CE174-0198-4806-B66B-60EE000CDF1A}"/>
    <hyperlink ref="A14" location="Invoicing_Fact!A1" display="Invoicing_Fact" xr:uid="{EB648CFF-E956-45CB-9335-2FFF43775AD8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99"/>
  </sheetPr>
  <dimension ref="A1:H24"/>
  <sheetViews>
    <sheetView showOutlineSymbols="0" zoomScale="115" zoomScaleNormal="115" workbookViewId="0">
      <selection activeCell="A17" sqref="A17"/>
    </sheetView>
  </sheetViews>
  <sheetFormatPr defaultColWidth="21.5703125" defaultRowHeight="15" x14ac:dyDescent="0.25"/>
  <cols>
    <col min="1" max="1" width="26" style="3" bestFit="1" customWidth="1"/>
    <col min="2" max="2" width="18.28515625" style="3" bestFit="1" customWidth="1"/>
    <col min="3" max="3" width="9.28515625" style="3" customWidth="1"/>
    <col min="4" max="4" width="37.28515625" style="3" bestFit="1" customWidth="1"/>
    <col min="5" max="5" width="8" style="3" customWidth="1"/>
    <col min="6" max="6" width="26" style="3" bestFit="1" customWidth="1"/>
    <col min="7" max="7" width="12.7109375" style="3" customWidth="1"/>
    <col min="8" max="8" width="70.5703125" style="3" customWidth="1"/>
    <col min="9" max="16384" width="21.5703125" style="3"/>
  </cols>
  <sheetData>
    <row r="1" spans="1:8" x14ac:dyDescent="0.25">
      <c r="A1" s="5" t="s">
        <v>5</v>
      </c>
    </row>
    <row r="2" spans="1:8" x14ac:dyDescent="0.25">
      <c r="A2" s="6" t="s">
        <v>114</v>
      </c>
      <c r="B2" s="6" t="s">
        <v>493</v>
      </c>
    </row>
    <row r="3" spans="1:8" x14ac:dyDescent="0.25">
      <c r="A3" s="6" t="s">
        <v>43</v>
      </c>
      <c r="B3" s="23" t="s">
        <v>494</v>
      </c>
      <c r="C3" s="23"/>
      <c r="D3" s="23"/>
      <c r="E3" s="23"/>
      <c r="F3" s="23"/>
      <c r="G3" s="23"/>
      <c r="H3" s="23"/>
    </row>
    <row r="4" spans="1:8" x14ac:dyDescent="0.25">
      <c r="D4" s="4"/>
    </row>
    <row r="5" spans="1:8" ht="30" x14ac:dyDescent="0.25">
      <c r="A5" s="24" t="s">
        <v>15</v>
      </c>
      <c r="B5" s="24" t="s">
        <v>16</v>
      </c>
      <c r="C5" s="24" t="s">
        <v>129</v>
      </c>
      <c r="D5" s="24" t="s">
        <v>7</v>
      </c>
      <c r="E5" s="24" t="s">
        <v>44</v>
      </c>
      <c r="F5" s="24" t="s">
        <v>45</v>
      </c>
      <c r="G5" s="24" t="s">
        <v>17</v>
      </c>
      <c r="H5" s="24" t="s">
        <v>49</v>
      </c>
    </row>
    <row r="6" spans="1:8" x14ac:dyDescent="0.25">
      <c r="A6" s="3" t="s">
        <v>399</v>
      </c>
      <c r="B6" s="4" t="s">
        <v>20</v>
      </c>
      <c r="C6" s="3" t="s">
        <v>130</v>
      </c>
      <c r="D6" s="92" t="s">
        <v>447</v>
      </c>
      <c r="E6" s="91" t="s">
        <v>448</v>
      </c>
      <c r="F6" s="5"/>
      <c r="G6" s="23">
        <v>1</v>
      </c>
    </row>
    <row r="7" spans="1:8" x14ac:dyDescent="0.25">
      <c r="A7" s="3" t="s">
        <v>445</v>
      </c>
      <c r="B7" s="4" t="s">
        <v>20</v>
      </c>
      <c r="C7" s="3" t="s">
        <v>130</v>
      </c>
      <c r="D7" s="92" t="s">
        <v>446</v>
      </c>
      <c r="E7" s="91" t="s">
        <v>92</v>
      </c>
      <c r="F7" s="5" t="s">
        <v>449</v>
      </c>
      <c r="G7" s="23">
        <v>20240101</v>
      </c>
      <c r="H7" s="3" t="s">
        <v>452</v>
      </c>
    </row>
    <row r="8" spans="1:8" x14ac:dyDescent="0.25">
      <c r="A8" s="3" t="s">
        <v>402</v>
      </c>
      <c r="B8" s="4" t="s">
        <v>20</v>
      </c>
      <c r="C8" s="3" t="s">
        <v>130</v>
      </c>
      <c r="D8" s="89" t="s">
        <v>435</v>
      </c>
      <c r="E8" s="91" t="s">
        <v>92</v>
      </c>
      <c r="F8" s="1" t="s">
        <v>475</v>
      </c>
      <c r="G8" s="23">
        <v>5</v>
      </c>
    </row>
    <row r="9" spans="1:8" x14ac:dyDescent="0.25">
      <c r="A9" s="3" t="s">
        <v>517</v>
      </c>
      <c r="B9" s="4" t="s">
        <v>20</v>
      </c>
      <c r="C9" s="3" t="s">
        <v>130</v>
      </c>
      <c r="D9" s="89" t="s">
        <v>472</v>
      </c>
      <c r="E9" s="91" t="s">
        <v>92</v>
      </c>
      <c r="F9" s="51" t="s">
        <v>473</v>
      </c>
      <c r="G9" s="3" t="s">
        <v>451</v>
      </c>
    </row>
    <row r="10" spans="1:8" s="6" customFormat="1" x14ac:dyDescent="0.25">
      <c r="A10" s="3" t="s">
        <v>434</v>
      </c>
      <c r="B10" s="4" t="s">
        <v>20</v>
      </c>
      <c r="C10" s="3" t="s">
        <v>130</v>
      </c>
      <c r="D10" s="89" t="s">
        <v>436</v>
      </c>
      <c r="E10" s="91" t="s">
        <v>92</v>
      </c>
      <c r="F10" s="1" t="s">
        <v>450</v>
      </c>
      <c r="G10" s="23">
        <v>12</v>
      </c>
      <c r="H10" s="3"/>
    </row>
    <row r="11" spans="1:8" s="6" customFormat="1" x14ac:dyDescent="0.25">
      <c r="A11" s="3" t="s">
        <v>430</v>
      </c>
      <c r="B11" s="4" t="s">
        <v>20</v>
      </c>
      <c r="C11" s="3" t="s">
        <v>130</v>
      </c>
      <c r="D11" s="89" t="s">
        <v>437</v>
      </c>
      <c r="E11" s="91" t="s">
        <v>92</v>
      </c>
      <c r="F11" s="1" t="s">
        <v>474</v>
      </c>
      <c r="G11" s="23">
        <v>2</v>
      </c>
      <c r="H11" s="3"/>
    </row>
    <row r="12" spans="1:8" s="72" customFormat="1" x14ac:dyDescent="0.25">
      <c r="A12" s="72" t="s">
        <v>518</v>
      </c>
      <c r="B12" s="4" t="s">
        <v>20</v>
      </c>
      <c r="C12" s="3" t="s">
        <v>392</v>
      </c>
      <c r="D12" s="90" t="s">
        <v>438</v>
      </c>
      <c r="G12" s="93">
        <v>84</v>
      </c>
    </row>
    <row r="13" spans="1:8" s="72" customFormat="1" x14ac:dyDescent="0.25">
      <c r="A13" s="87" t="s">
        <v>519</v>
      </c>
      <c r="B13" s="88" t="s">
        <v>150</v>
      </c>
      <c r="C13" s="3" t="s">
        <v>390</v>
      </c>
      <c r="D13" s="90" t="s">
        <v>439</v>
      </c>
      <c r="E13" s="78"/>
      <c r="F13" s="78"/>
      <c r="G13" s="93">
        <v>18</v>
      </c>
      <c r="H13" s="78"/>
    </row>
    <row r="14" spans="1:8" s="77" customFormat="1" x14ac:dyDescent="0.25">
      <c r="A14" s="87" t="s">
        <v>520</v>
      </c>
      <c r="B14" s="88" t="s">
        <v>150</v>
      </c>
      <c r="C14" s="3" t="s">
        <v>390</v>
      </c>
      <c r="D14" s="90" t="s">
        <v>440</v>
      </c>
      <c r="G14" s="93">
        <v>15</v>
      </c>
    </row>
    <row r="15" spans="1:8" s="72" customFormat="1" x14ac:dyDescent="0.25">
      <c r="A15" s="72" t="s">
        <v>521</v>
      </c>
      <c r="B15" s="88" t="s">
        <v>150</v>
      </c>
      <c r="C15" s="3" t="s">
        <v>390</v>
      </c>
      <c r="D15" s="90" t="s">
        <v>441</v>
      </c>
      <c r="G15" s="93">
        <v>226.8</v>
      </c>
    </row>
    <row r="16" spans="1:8" s="72" customFormat="1" x14ac:dyDescent="0.25">
      <c r="A16" s="72" t="s">
        <v>522</v>
      </c>
      <c r="B16" s="88" t="s">
        <v>150</v>
      </c>
      <c r="C16" s="3" t="s">
        <v>390</v>
      </c>
      <c r="D16" s="90" t="s">
        <v>442</v>
      </c>
      <c r="G16" s="93">
        <v>924</v>
      </c>
    </row>
    <row r="17" spans="1:8" s="72" customFormat="1" x14ac:dyDescent="0.25">
      <c r="A17" s="72" t="s">
        <v>523</v>
      </c>
      <c r="B17" s="88" t="s">
        <v>150</v>
      </c>
      <c r="C17" s="3" t="s">
        <v>390</v>
      </c>
      <c r="D17" s="90" t="s">
        <v>443</v>
      </c>
      <c r="G17" s="93">
        <v>1738.8</v>
      </c>
    </row>
    <row r="18" spans="1:8" s="72" customFormat="1" x14ac:dyDescent="0.25">
      <c r="B18" s="73"/>
      <c r="D18" s="74"/>
      <c r="G18" s="75"/>
    </row>
    <row r="19" spans="1:8" s="34" customFormat="1" ht="30" x14ac:dyDescent="0.25">
      <c r="A19" s="34" t="s">
        <v>126</v>
      </c>
      <c r="B19" s="34" t="s">
        <v>62</v>
      </c>
      <c r="C19" s="36" t="s">
        <v>130</v>
      </c>
      <c r="D19" s="35" t="s">
        <v>184</v>
      </c>
      <c r="F19" s="36"/>
      <c r="G19" s="36" t="s">
        <v>128</v>
      </c>
      <c r="H19" s="34" t="s">
        <v>119</v>
      </c>
    </row>
    <row r="20" spans="1:8" s="34" customFormat="1" x14ac:dyDescent="0.25">
      <c r="A20" s="34" t="s">
        <v>19</v>
      </c>
      <c r="B20" s="34" t="s">
        <v>20</v>
      </c>
      <c r="C20" s="36" t="s">
        <v>130</v>
      </c>
      <c r="D20" s="35" t="s">
        <v>125</v>
      </c>
      <c r="E20" s="34" t="s">
        <v>444</v>
      </c>
      <c r="F20" s="51" t="s">
        <v>30</v>
      </c>
      <c r="G20" s="36">
        <v>1</v>
      </c>
      <c r="H20" s="34" t="s">
        <v>119</v>
      </c>
    </row>
    <row r="21" spans="1:8" s="34" customFormat="1" x14ac:dyDescent="0.25">
      <c r="C21" s="36"/>
      <c r="D21" s="35"/>
      <c r="F21" s="51"/>
      <c r="G21" s="36"/>
    </row>
    <row r="22" spans="1:8" s="34" customFormat="1" x14ac:dyDescent="0.25">
      <c r="C22" s="36"/>
      <c r="D22" s="35"/>
      <c r="F22" s="51"/>
      <c r="G22" s="36"/>
    </row>
    <row r="23" spans="1:8" x14ac:dyDescent="0.25">
      <c r="A23" s="6"/>
    </row>
    <row r="24" spans="1:8" s="37" customFormat="1" x14ac:dyDescent="0.25">
      <c r="D24" s="38"/>
    </row>
  </sheetData>
  <hyperlinks>
    <hyperlink ref="A1" location="Index!A1" display="Index" xr:uid="{00000000-0004-0000-1000-000000000000}"/>
    <hyperlink ref="F20" location="'Process Metadata'!A25" display="Import_Batch_Process_Task" xr:uid="{00000000-0004-0000-1000-000004000000}"/>
    <hyperlink ref="F7" location="Date!A1" display="Date!A1" xr:uid="{9640A236-A26E-45D1-9840-5A1E28F66908}"/>
    <hyperlink ref="F10" location="Stock_Item_Dimension!A1" display="Stock_Item_Dimension!A1" xr:uid="{2997FED1-4AD1-41FD-B42D-37A2F08038E2}"/>
    <hyperlink ref="F9" location="SEmployee_Dim!A1" display="Employee_Dim" xr:uid="{11354883-275C-4FAB-9642-7881115ACA5A}"/>
    <hyperlink ref="F11" location="Package_Type_Dim!A1" display="Package_Type_Dim!A1" xr:uid="{0099ABC4-5A7D-40AD-8312-365627A456D2}"/>
    <hyperlink ref="F8" location="SF_Customer!A1" display="SF_Customer!A1" xr:uid="{55ABD5AE-FC04-4D1B-97AD-8052E62396F6}"/>
  </hyperlinks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K13"/>
  <sheetViews>
    <sheetView showOutlineSymbols="0" zoomScale="130" zoomScaleNormal="130" workbookViewId="0"/>
  </sheetViews>
  <sheetFormatPr defaultColWidth="44.140625" defaultRowHeight="15" x14ac:dyDescent="0.25"/>
  <cols>
    <col min="1" max="1" width="15.28515625" bestFit="1" customWidth="1"/>
    <col min="2" max="2" width="14.7109375" customWidth="1"/>
    <col min="3" max="3" width="9" bestFit="1" customWidth="1"/>
    <col min="4" max="4" width="42.28515625" bestFit="1" customWidth="1"/>
    <col min="5" max="5" width="5" bestFit="1" customWidth="1"/>
    <col min="6" max="6" width="5.28515625" bestFit="1" customWidth="1"/>
    <col min="7" max="7" width="8.85546875" style="10" bestFit="1" customWidth="1"/>
    <col min="8" max="8" width="16.28515625" style="10" bestFit="1" customWidth="1"/>
    <col min="9" max="9" width="16.85546875" bestFit="1" customWidth="1"/>
    <col min="10" max="10" width="11.28515625" bestFit="1" customWidth="1"/>
    <col min="11" max="11" width="11.7109375" bestFit="1" customWidth="1"/>
  </cols>
  <sheetData>
    <row r="1" spans="1:11" x14ac:dyDescent="0.25">
      <c r="A1" s="5" t="s">
        <v>5</v>
      </c>
    </row>
    <row r="2" spans="1:11" s="3" customFormat="1" x14ac:dyDescent="0.25">
      <c r="A2" s="6" t="s">
        <v>114</v>
      </c>
      <c r="B2" s="6" t="s">
        <v>42</v>
      </c>
      <c r="C2" s="2"/>
      <c r="E2" s="23"/>
      <c r="F2" s="23"/>
      <c r="G2" s="23"/>
      <c r="H2" s="23"/>
    </row>
    <row r="3" spans="1:11" x14ac:dyDescent="0.25">
      <c r="A3" s="8" t="s">
        <v>43</v>
      </c>
      <c r="B3" s="10" t="s">
        <v>275</v>
      </c>
      <c r="C3" s="10"/>
      <c r="D3" s="10"/>
      <c r="E3" s="10"/>
      <c r="F3" s="10"/>
      <c r="I3" s="10"/>
      <c r="J3" s="10"/>
      <c r="K3" s="10"/>
    </row>
    <row r="5" spans="1:11" ht="45" x14ac:dyDescent="0.25">
      <c r="A5" s="9" t="s">
        <v>15</v>
      </c>
      <c r="B5" s="9" t="s">
        <v>16</v>
      </c>
      <c r="C5" s="9" t="s">
        <v>157</v>
      </c>
      <c r="D5" s="9" t="s">
        <v>7</v>
      </c>
      <c r="E5" s="9" t="s">
        <v>44</v>
      </c>
      <c r="F5" s="9" t="s">
        <v>45</v>
      </c>
      <c r="G5" s="9" t="s">
        <v>46</v>
      </c>
      <c r="H5" s="9" t="s">
        <v>47</v>
      </c>
      <c r="I5" s="9" t="s">
        <v>48</v>
      </c>
      <c r="J5" s="9" t="s">
        <v>17</v>
      </c>
      <c r="K5" s="9" t="s">
        <v>49</v>
      </c>
    </row>
    <row r="6" spans="1:11" x14ac:dyDescent="0.25">
      <c r="A6" s="8" t="s">
        <v>50</v>
      </c>
      <c r="B6" s="41" t="s">
        <v>20</v>
      </c>
      <c r="C6" s="8"/>
      <c r="D6" s="8" t="s">
        <v>51</v>
      </c>
      <c r="E6" s="8" t="s">
        <v>52</v>
      </c>
      <c r="F6" s="8"/>
      <c r="G6" s="40" t="s">
        <v>53</v>
      </c>
      <c r="H6" s="40">
        <v>99990101</v>
      </c>
      <c r="I6" s="40">
        <v>19000101</v>
      </c>
      <c r="J6" s="10">
        <f>YEAR(J7)*10000+MONTH(J7)*100+DAY(J7)</f>
        <v>20210711</v>
      </c>
      <c r="K6" s="8"/>
    </row>
    <row r="7" spans="1:11" s="12" customFormat="1" ht="30" x14ac:dyDescent="0.25">
      <c r="A7" s="42" t="s">
        <v>42</v>
      </c>
      <c r="B7" s="44" t="s">
        <v>54</v>
      </c>
      <c r="C7" s="42"/>
      <c r="D7" s="44" t="s">
        <v>55</v>
      </c>
      <c r="E7" s="42" t="s">
        <v>115</v>
      </c>
      <c r="F7" s="42"/>
      <c r="G7" s="43" t="s">
        <v>53</v>
      </c>
      <c r="H7" s="46">
        <v>2958101</v>
      </c>
      <c r="I7" s="46">
        <v>1</v>
      </c>
      <c r="J7" s="62">
        <v>44388</v>
      </c>
      <c r="K7" s="42" t="s">
        <v>56</v>
      </c>
    </row>
    <row r="8" spans="1:11" x14ac:dyDescent="0.25">
      <c r="A8" t="s">
        <v>57</v>
      </c>
      <c r="B8" s="2" t="s">
        <v>58</v>
      </c>
      <c r="D8" s="2" t="s">
        <v>59</v>
      </c>
      <c r="G8" s="10" t="s">
        <v>53</v>
      </c>
      <c r="H8" s="13" t="s">
        <v>60</v>
      </c>
      <c r="I8" s="13" t="s">
        <v>61</v>
      </c>
      <c r="J8" s="14" t="str">
        <f>TEXT(J7,"dd MMMM YYYY")</f>
        <v>11 July 2021</v>
      </c>
    </row>
    <row r="9" spans="1:11" ht="30" x14ac:dyDescent="0.25">
      <c r="A9" t="s">
        <v>64</v>
      </c>
      <c r="B9" s="2" t="s">
        <v>36</v>
      </c>
      <c r="D9" s="2" t="s">
        <v>65</v>
      </c>
      <c r="G9" s="10" t="s">
        <v>53</v>
      </c>
      <c r="H9" s="10">
        <v>1</v>
      </c>
      <c r="I9" s="10">
        <v>1</v>
      </c>
      <c r="J9" s="10">
        <f>MONTH(J7)</f>
        <v>7</v>
      </c>
    </row>
    <row r="10" spans="1:11" x14ac:dyDescent="0.25">
      <c r="A10" t="s">
        <v>66</v>
      </c>
      <c r="B10" s="2" t="s">
        <v>62</v>
      </c>
      <c r="D10" s="2" t="s">
        <v>67</v>
      </c>
      <c r="G10" s="10" t="s">
        <v>53</v>
      </c>
      <c r="H10" s="10" t="s">
        <v>68</v>
      </c>
      <c r="I10" s="10" t="s">
        <v>68</v>
      </c>
      <c r="J10" s="10" t="str">
        <f>TEXT(J7,"MMMM")</f>
        <v>July</v>
      </c>
    </row>
    <row r="11" spans="1:11" x14ac:dyDescent="0.25">
      <c r="A11" t="s">
        <v>69</v>
      </c>
      <c r="B11" s="2" t="s">
        <v>20</v>
      </c>
      <c r="D11" s="2" t="s">
        <v>70</v>
      </c>
      <c r="G11" s="10" t="s">
        <v>53</v>
      </c>
      <c r="H11" s="13">
        <v>9999</v>
      </c>
      <c r="I11" s="13">
        <v>1900</v>
      </c>
      <c r="J11" s="13">
        <f>YEAR(J7)</f>
        <v>2021</v>
      </c>
    </row>
    <row r="12" spans="1:11" ht="60" x14ac:dyDescent="0.25">
      <c r="A12" t="s">
        <v>71</v>
      </c>
      <c r="B12" s="2" t="s">
        <v>72</v>
      </c>
      <c r="D12" s="2" t="s">
        <v>73</v>
      </c>
      <c r="G12" s="10" t="s">
        <v>53</v>
      </c>
      <c r="H12" s="15" t="s">
        <v>74</v>
      </c>
      <c r="I12" s="15" t="s">
        <v>75</v>
      </c>
      <c r="J12" s="15" t="str">
        <f>TEXT(J7,"YYYY-MM")</f>
        <v>2021-07</v>
      </c>
    </row>
    <row r="13" spans="1:11" x14ac:dyDescent="0.25">
      <c r="A13" t="s">
        <v>228</v>
      </c>
      <c r="B13" s="2" t="s">
        <v>36</v>
      </c>
      <c r="D13" s="2" t="s">
        <v>229</v>
      </c>
      <c r="G13" s="10" t="s">
        <v>53</v>
      </c>
      <c r="H13" s="10">
        <v>1</v>
      </c>
      <c r="I13">
        <v>1</v>
      </c>
      <c r="J13" s="10">
        <f>WEEKNUM(J7)</f>
        <v>29</v>
      </c>
    </row>
  </sheetData>
  <hyperlinks>
    <hyperlink ref="A1" location="Index!A1" display="Index" xr:uid="{00000000-0004-0000-0C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D5E9-89FE-4488-BBE1-5F388C529EF5}">
  <sheetPr>
    <tabColor rgb="FFFFFF99"/>
  </sheetPr>
  <dimension ref="A1:H21"/>
  <sheetViews>
    <sheetView showOutlineSymbols="0" zoomScale="87" zoomScaleNormal="130" workbookViewId="0"/>
  </sheetViews>
  <sheetFormatPr defaultColWidth="36.28515625" defaultRowHeight="15" x14ac:dyDescent="0.25"/>
  <cols>
    <col min="1" max="1" width="30" style="3" bestFit="1" customWidth="1"/>
    <col min="2" max="2" width="16.140625" style="3" bestFit="1" customWidth="1"/>
    <col min="3" max="3" width="35.5703125" style="4" bestFit="1" customWidth="1"/>
    <col min="4" max="4" width="16.5703125" style="3" customWidth="1"/>
    <col min="5" max="5" width="13.28515625" style="23" customWidth="1"/>
    <col min="6" max="6" width="16.85546875" style="23" bestFit="1" customWidth="1"/>
    <col min="7" max="7" width="24.7109375" style="23" bestFit="1" customWidth="1"/>
    <col min="8" max="8" width="29.140625" style="3" bestFit="1" customWidth="1"/>
    <col min="9" max="16384" width="36.28515625" style="3"/>
  </cols>
  <sheetData>
    <row r="1" spans="1:8" x14ac:dyDescent="0.25">
      <c r="A1" s="5" t="s">
        <v>5</v>
      </c>
    </row>
    <row r="2" spans="1:8" x14ac:dyDescent="0.25">
      <c r="A2" s="6" t="s">
        <v>114</v>
      </c>
      <c r="B2" s="6" t="s">
        <v>276</v>
      </c>
      <c r="C2" s="2"/>
    </row>
    <row r="3" spans="1:8" x14ac:dyDescent="0.25">
      <c r="A3" s="6" t="s">
        <v>43</v>
      </c>
      <c r="B3" s="103" t="s">
        <v>501</v>
      </c>
      <c r="C3" s="103"/>
      <c r="D3" s="103"/>
      <c r="E3" s="103"/>
      <c r="F3" s="103"/>
      <c r="G3" s="103"/>
      <c r="H3" s="103"/>
    </row>
    <row r="5" spans="1:8" ht="30" x14ac:dyDescent="0.25">
      <c r="A5" s="24" t="s">
        <v>15</v>
      </c>
      <c r="B5" s="24" t="s">
        <v>16</v>
      </c>
      <c r="C5" s="24" t="s">
        <v>7</v>
      </c>
      <c r="D5" s="24" t="s">
        <v>44</v>
      </c>
      <c r="E5" s="24" t="s">
        <v>46</v>
      </c>
      <c r="F5" s="24" t="s">
        <v>48</v>
      </c>
      <c r="G5" s="24" t="s">
        <v>183</v>
      </c>
      <c r="H5" s="24" t="s">
        <v>49</v>
      </c>
    </row>
    <row r="6" spans="1:8" x14ac:dyDescent="0.25">
      <c r="A6" s="3" t="s">
        <v>402</v>
      </c>
      <c r="B6" s="4" t="s">
        <v>20</v>
      </c>
      <c r="C6" s="4" t="s">
        <v>51</v>
      </c>
      <c r="D6" s="3" t="s">
        <v>52</v>
      </c>
      <c r="E6" s="23" t="s">
        <v>53</v>
      </c>
      <c r="F6" s="23">
        <v>0</v>
      </c>
      <c r="G6" s="23">
        <v>1</v>
      </c>
    </row>
    <row r="7" spans="1:8" s="48" customFormat="1" x14ac:dyDescent="0.25">
      <c r="A7" s="48" t="s">
        <v>238</v>
      </c>
      <c r="B7" s="49" t="s">
        <v>20</v>
      </c>
      <c r="C7" s="49" t="s">
        <v>277</v>
      </c>
      <c r="D7" s="48" t="s">
        <v>115</v>
      </c>
      <c r="E7" s="50">
        <v>0</v>
      </c>
      <c r="F7" s="50">
        <v>0</v>
      </c>
      <c r="G7" s="50">
        <v>152</v>
      </c>
    </row>
    <row r="8" spans="1:8" s="29" customFormat="1" x14ac:dyDescent="0.25">
      <c r="A8" s="29" t="s">
        <v>239</v>
      </c>
      <c r="B8" s="4" t="s">
        <v>403</v>
      </c>
      <c r="C8" s="79" t="s">
        <v>257</v>
      </c>
      <c r="D8" s="29" t="s">
        <v>53</v>
      </c>
      <c r="E8" s="80" t="s">
        <v>470</v>
      </c>
      <c r="F8" s="80" t="s">
        <v>404</v>
      </c>
      <c r="G8" s="23" t="s">
        <v>265</v>
      </c>
    </row>
    <row r="9" spans="1:8" s="29" customFormat="1" x14ac:dyDescent="0.25">
      <c r="A9" s="29" t="s">
        <v>503</v>
      </c>
      <c r="B9" s="4" t="s">
        <v>403</v>
      </c>
      <c r="C9" s="79" t="s">
        <v>596</v>
      </c>
      <c r="D9" s="29" t="s">
        <v>53</v>
      </c>
      <c r="E9" s="80" t="s">
        <v>470</v>
      </c>
      <c r="F9" s="80" t="s">
        <v>116</v>
      </c>
      <c r="G9" s="23">
        <v>3</v>
      </c>
    </row>
    <row r="10" spans="1:8" s="29" customFormat="1" x14ac:dyDescent="0.25">
      <c r="A10" s="29" t="s">
        <v>504</v>
      </c>
      <c r="B10" s="4" t="s">
        <v>403</v>
      </c>
      <c r="C10" s="79" t="s">
        <v>602</v>
      </c>
      <c r="D10" s="29" t="s">
        <v>53</v>
      </c>
      <c r="E10" s="80" t="s">
        <v>470</v>
      </c>
      <c r="F10" s="80" t="s">
        <v>116</v>
      </c>
      <c r="G10" s="23">
        <v>3</v>
      </c>
    </row>
    <row r="11" spans="1:8" s="29" customFormat="1" ht="30" x14ac:dyDescent="0.25">
      <c r="A11" s="29" t="s">
        <v>597</v>
      </c>
      <c r="B11" s="4" t="s">
        <v>403</v>
      </c>
      <c r="C11" s="79" t="s">
        <v>598</v>
      </c>
      <c r="D11" s="29" t="s">
        <v>53</v>
      </c>
      <c r="E11" s="80" t="s">
        <v>502</v>
      </c>
      <c r="F11" s="80" t="s">
        <v>405</v>
      </c>
      <c r="G11" s="23" t="s">
        <v>265</v>
      </c>
    </row>
    <row r="12" spans="1:8" s="29" customFormat="1" x14ac:dyDescent="0.25">
      <c r="A12" s="29" t="s">
        <v>599</v>
      </c>
      <c r="B12" s="4" t="s">
        <v>150</v>
      </c>
      <c r="C12" s="79" t="s">
        <v>262</v>
      </c>
      <c r="D12" s="29" t="s">
        <v>53</v>
      </c>
      <c r="E12" s="80" t="s">
        <v>465</v>
      </c>
      <c r="F12" s="80">
        <v>-1</v>
      </c>
      <c r="G12" s="23">
        <v>-1</v>
      </c>
    </row>
    <row r="13" spans="1:8" s="29" customFormat="1" x14ac:dyDescent="0.25">
      <c r="A13" s="29" t="s">
        <v>595</v>
      </c>
      <c r="B13" s="4" t="s">
        <v>403</v>
      </c>
      <c r="C13" s="79" t="s">
        <v>600</v>
      </c>
      <c r="D13" s="29" t="s">
        <v>53</v>
      </c>
      <c r="E13" s="80" t="s">
        <v>465</v>
      </c>
      <c r="F13" s="80" t="s">
        <v>116</v>
      </c>
      <c r="G13" s="23" t="s">
        <v>601</v>
      </c>
    </row>
    <row r="14" spans="1:8" s="29" customFormat="1" ht="30" x14ac:dyDescent="0.25">
      <c r="A14" s="29" t="s">
        <v>273</v>
      </c>
      <c r="B14" s="4" t="s">
        <v>54</v>
      </c>
      <c r="C14" s="79" t="s">
        <v>406</v>
      </c>
      <c r="D14" s="29" t="s">
        <v>53</v>
      </c>
      <c r="E14" s="80" t="s">
        <v>471</v>
      </c>
      <c r="F14" s="84">
        <v>1</v>
      </c>
      <c r="G14" s="39">
        <v>43101</v>
      </c>
    </row>
    <row r="15" spans="1:8" s="29" customFormat="1" x14ac:dyDescent="0.25">
      <c r="B15" s="4"/>
      <c r="C15" s="79"/>
      <c r="E15" s="80"/>
      <c r="F15" s="84"/>
      <c r="G15" s="39"/>
    </row>
    <row r="16" spans="1:8" s="29" customFormat="1" x14ac:dyDescent="0.25">
      <c r="B16"/>
      <c r="C16" s="2"/>
      <c r="E16" s="80"/>
      <c r="F16" s="66"/>
      <c r="G16" s="39"/>
    </row>
    <row r="17" spans="1:8" s="25" customFormat="1" x14ac:dyDescent="0.25">
      <c r="A17" s="25" t="s">
        <v>117</v>
      </c>
      <c r="B17" s="25" t="s">
        <v>54</v>
      </c>
      <c r="C17" s="26" t="s">
        <v>118</v>
      </c>
      <c r="E17" s="27" t="s">
        <v>53</v>
      </c>
      <c r="F17" s="28">
        <v>1</v>
      </c>
      <c r="G17" s="39">
        <v>43101</v>
      </c>
      <c r="H17" s="25" t="s">
        <v>119</v>
      </c>
    </row>
    <row r="18" spans="1:8" s="25" customFormat="1" x14ac:dyDescent="0.25">
      <c r="A18" s="25" t="s">
        <v>120</v>
      </c>
      <c r="B18" s="25" t="s">
        <v>54</v>
      </c>
      <c r="C18" s="26" t="s">
        <v>121</v>
      </c>
      <c r="E18" s="27" t="s">
        <v>53</v>
      </c>
      <c r="F18" s="28">
        <v>2958465</v>
      </c>
      <c r="G18" s="39">
        <v>401404</v>
      </c>
      <c r="H18" s="25" t="s">
        <v>119</v>
      </c>
    </row>
    <row r="19" spans="1:8" s="25" customFormat="1" x14ac:dyDescent="0.25">
      <c r="A19" s="25" t="s">
        <v>122</v>
      </c>
      <c r="B19" s="25" t="s">
        <v>123</v>
      </c>
      <c r="C19" s="26" t="s">
        <v>124</v>
      </c>
      <c r="E19" s="27" t="s">
        <v>53</v>
      </c>
      <c r="F19" s="27">
        <v>1</v>
      </c>
      <c r="G19" s="23">
        <v>1</v>
      </c>
      <c r="H19" s="25" t="s">
        <v>119</v>
      </c>
    </row>
    <row r="20" spans="1:8" s="25" customFormat="1" ht="30" x14ac:dyDescent="0.25">
      <c r="A20" s="25" t="s">
        <v>126</v>
      </c>
      <c r="B20" s="25" t="s">
        <v>62</v>
      </c>
      <c r="C20" s="26" t="s">
        <v>127</v>
      </c>
      <c r="E20" s="27" t="s">
        <v>53</v>
      </c>
      <c r="F20" s="27" t="s">
        <v>128</v>
      </c>
      <c r="G20" s="23" t="s">
        <v>128</v>
      </c>
      <c r="H20" s="25" t="s">
        <v>119</v>
      </c>
    </row>
    <row r="21" spans="1:8" s="25" customFormat="1" x14ac:dyDescent="0.25">
      <c r="A21" s="25" t="s">
        <v>19</v>
      </c>
      <c r="B21" s="25" t="s">
        <v>20</v>
      </c>
      <c r="C21" s="26" t="s">
        <v>125</v>
      </c>
      <c r="D21" s="25" t="s">
        <v>92</v>
      </c>
      <c r="E21" s="27" t="s">
        <v>53</v>
      </c>
      <c r="F21" s="27">
        <v>0</v>
      </c>
      <c r="G21" s="27">
        <v>1</v>
      </c>
      <c r="H21" s="51" t="s">
        <v>185</v>
      </c>
    </row>
  </sheetData>
  <mergeCells count="1">
    <mergeCell ref="B3:H3"/>
  </mergeCells>
  <hyperlinks>
    <hyperlink ref="A1" location="Index!A1" display="Index" xr:uid="{E4CF4AD1-1A75-4055-88B9-69BB78F4C2B0}"/>
    <hyperlink ref="H21" location="'Process Metadata'!A25" display="Import_Batch_Process_Task" xr:uid="{2C7549C5-07F7-42BF-B302-4E2348D61594}"/>
  </hyperlinks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EAAF-164A-4A0A-B795-1CC27DBEF7D8}">
  <sheetPr>
    <tabColor rgb="FFFFFF99"/>
  </sheetPr>
  <dimension ref="A1:I19"/>
  <sheetViews>
    <sheetView showOutlineSymbols="0" zoomScale="130" zoomScaleNormal="130" workbookViewId="0">
      <selection activeCell="A3" sqref="A3"/>
    </sheetView>
  </sheetViews>
  <sheetFormatPr defaultColWidth="36.28515625" defaultRowHeight="15" x14ac:dyDescent="0.25"/>
  <cols>
    <col min="1" max="1" width="30" style="3" bestFit="1" customWidth="1"/>
    <col min="2" max="2" width="16.140625" style="3" bestFit="1" customWidth="1"/>
    <col min="3" max="3" width="35.5703125" style="4" bestFit="1" customWidth="1"/>
    <col min="4" max="4" width="16.5703125" style="3" customWidth="1"/>
    <col min="5" max="5" width="12.5703125" style="23" bestFit="1" customWidth="1"/>
    <col min="6" max="6" width="16.28515625" style="23" bestFit="1" customWidth="1"/>
    <col min="7" max="7" width="16.85546875" style="23" bestFit="1" customWidth="1"/>
    <col min="8" max="8" width="24.7109375" style="23" bestFit="1" customWidth="1"/>
    <col min="9" max="9" width="29.140625" style="3" bestFit="1" customWidth="1"/>
    <col min="10" max="16384" width="36.28515625" style="3"/>
  </cols>
  <sheetData>
    <row r="1" spans="1:9" x14ac:dyDescent="0.25">
      <c r="A1" s="5" t="s">
        <v>5</v>
      </c>
    </row>
    <row r="2" spans="1:9" x14ac:dyDescent="0.25">
      <c r="A2" s="6" t="s">
        <v>114</v>
      </c>
      <c r="B2" s="6" t="s">
        <v>276</v>
      </c>
      <c r="C2" s="2"/>
    </row>
    <row r="3" spans="1:9" x14ac:dyDescent="0.25">
      <c r="A3" s="6" t="s">
        <v>43</v>
      </c>
      <c r="B3" s="103" t="s">
        <v>607</v>
      </c>
      <c r="C3" s="103"/>
      <c r="D3" s="103"/>
      <c r="E3" s="103"/>
      <c r="F3" s="103"/>
      <c r="G3" s="103"/>
      <c r="H3" s="103"/>
      <c r="I3" s="103"/>
    </row>
    <row r="5" spans="1:9" ht="30" x14ac:dyDescent="0.25">
      <c r="A5" s="24" t="s">
        <v>15</v>
      </c>
      <c r="B5" s="24" t="s">
        <v>16</v>
      </c>
      <c r="C5" s="24" t="s">
        <v>7</v>
      </c>
      <c r="D5" s="24" t="s">
        <v>44</v>
      </c>
      <c r="E5" s="24" t="s">
        <v>46</v>
      </c>
      <c r="F5" s="76" t="s">
        <v>47</v>
      </c>
      <c r="G5" s="24" t="s">
        <v>48</v>
      </c>
      <c r="H5" s="24" t="s">
        <v>183</v>
      </c>
      <c r="I5" s="24" t="s">
        <v>49</v>
      </c>
    </row>
    <row r="6" spans="1:9" x14ac:dyDescent="0.25">
      <c r="A6" s="3" t="s">
        <v>517</v>
      </c>
      <c r="B6" s="4" t="s">
        <v>20</v>
      </c>
      <c r="C6" s="4" t="s">
        <v>51</v>
      </c>
      <c r="D6" s="3" t="s">
        <v>52</v>
      </c>
      <c r="E6" s="23" t="s">
        <v>53</v>
      </c>
      <c r="G6" s="23">
        <v>0</v>
      </c>
      <c r="H6" s="23">
        <v>1</v>
      </c>
    </row>
    <row r="7" spans="1:9" s="48" customFormat="1" x14ac:dyDescent="0.25">
      <c r="A7" s="48" t="s">
        <v>511</v>
      </c>
      <c r="B7" s="49" t="s">
        <v>20</v>
      </c>
      <c r="C7" s="49" t="s">
        <v>277</v>
      </c>
      <c r="D7" s="48" t="s">
        <v>115</v>
      </c>
      <c r="E7" s="50">
        <v>0</v>
      </c>
      <c r="F7" s="50"/>
      <c r="G7" s="50">
        <v>0</v>
      </c>
      <c r="H7" s="50">
        <v>152</v>
      </c>
    </row>
    <row r="8" spans="1:9" s="29" customFormat="1" x14ac:dyDescent="0.25">
      <c r="A8" s="29" t="s">
        <v>508</v>
      </c>
      <c r="B8" s="4" t="s">
        <v>403</v>
      </c>
      <c r="C8" s="79" t="s">
        <v>407</v>
      </c>
      <c r="D8" s="29" t="s">
        <v>53</v>
      </c>
      <c r="E8" s="80" t="s">
        <v>470</v>
      </c>
      <c r="F8" s="80" t="s">
        <v>404</v>
      </c>
      <c r="G8" s="80" t="s">
        <v>116</v>
      </c>
      <c r="H8" s="23" t="s">
        <v>292</v>
      </c>
    </row>
    <row r="9" spans="1:9" s="29" customFormat="1" x14ac:dyDescent="0.25">
      <c r="A9" s="29" t="s">
        <v>509</v>
      </c>
      <c r="B9" s="4" t="s">
        <v>403</v>
      </c>
      <c r="C9" s="79" t="s">
        <v>408</v>
      </c>
      <c r="D9" s="29" t="s">
        <v>53</v>
      </c>
      <c r="E9" s="80" t="s">
        <v>477</v>
      </c>
      <c r="F9" s="29" t="s">
        <v>116</v>
      </c>
      <c r="G9" s="80" t="s">
        <v>116</v>
      </c>
      <c r="H9" s="23" t="s">
        <v>295</v>
      </c>
    </row>
    <row r="10" spans="1:9" s="29" customFormat="1" x14ac:dyDescent="0.25">
      <c r="A10" s="29" t="s">
        <v>497</v>
      </c>
      <c r="B10" s="4" t="s">
        <v>500</v>
      </c>
      <c r="C10" s="79" t="s">
        <v>409</v>
      </c>
      <c r="D10" s="29" t="s">
        <v>53</v>
      </c>
      <c r="E10" s="80" t="s">
        <v>478</v>
      </c>
      <c r="F10" s="80">
        <v>-1</v>
      </c>
      <c r="G10" s="80">
        <v>-1</v>
      </c>
      <c r="H10" s="23">
        <v>1</v>
      </c>
    </row>
    <row r="11" spans="1:9" s="29" customFormat="1" x14ac:dyDescent="0.25">
      <c r="A11" s="29" t="s">
        <v>498</v>
      </c>
      <c r="B11" s="4" t="s">
        <v>500</v>
      </c>
      <c r="C11" s="79" t="s">
        <v>410</v>
      </c>
      <c r="D11" s="29" t="s">
        <v>53</v>
      </c>
      <c r="E11" s="80" t="s">
        <v>470</v>
      </c>
      <c r="F11" s="80">
        <v>-1</v>
      </c>
      <c r="G11" s="80">
        <v>-1</v>
      </c>
      <c r="H11" s="23">
        <v>0</v>
      </c>
    </row>
    <row r="12" spans="1:9" s="29" customFormat="1" x14ac:dyDescent="0.25">
      <c r="A12" s="29" t="s">
        <v>510</v>
      </c>
      <c r="B12" s="4" t="s">
        <v>403</v>
      </c>
      <c r="C12" s="79" t="s">
        <v>411</v>
      </c>
      <c r="D12" s="29" t="s">
        <v>53</v>
      </c>
      <c r="E12" s="80" t="s">
        <v>477</v>
      </c>
      <c r="F12" s="84" t="s">
        <v>116</v>
      </c>
      <c r="G12" s="84" t="s">
        <v>116</v>
      </c>
      <c r="H12" s="85" t="s">
        <v>412</v>
      </c>
    </row>
    <row r="13" spans="1:9" s="29" customFormat="1" x14ac:dyDescent="0.25">
      <c r="B13" s="4"/>
      <c r="C13" s="79"/>
      <c r="E13" s="80"/>
      <c r="F13" s="84"/>
      <c r="G13" s="84"/>
      <c r="H13" s="39"/>
    </row>
    <row r="14" spans="1:9" s="29" customFormat="1" x14ac:dyDescent="0.25">
      <c r="B14"/>
      <c r="C14" s="2"/>
      <c r="E14" s="80"/>
      <c r="F14" s="80"/>
      <c r="G14" s="66"/>
      <c r="H14" s="39"/>
    </row>
    <row r="15" spans="1:9" s="25" customFormat="1" x14ac:dyDescent="0.25">
      <c r="A15" s="25" t="s">
        <v>117</v>
      </c>
      <c r="B15" s="25" t="s">
        <v>54</v>
      </c>
      <c r="C15" s="26" t="s">
        <v>118</v>
      </c>
      <c r="E15" s="27" t="s">
        <v>53</v>
      </c>
      <c r="F15" s="28"/>
      <c r="G15" s="28">
        <v>1</v>
      </c>
      <c r="H15" s="39">
        <v>43101</v>
      </c>
      <c r="I15" s="25" t="s">
        <v>119</v>
      </c>
    </row>
    <row r="16" spans="1:9" s="25" customFormat="1" x14ac:dyDescent="0.25">
      <c r="A16" s="25" t="s">
        <v>120</v>
      </c>
      <c r="B16" s="25" t="s">
        <v>54</v>
      </c>
      <c r="C16" s="26" t="s">
        <v>121</v>
      </c>
      <c r="E16" s="27" t="s">
        <v>53</v>
      </c>
      <c r="F16" s="28"/>
      <c r="G16" s="28">
        <v>2958465</v>
      </c>
      <c r="H16" s="39">
        <v>401404</v>
      </c>
      <c r="I16" s="25" t="s">
        <v>119</v>
      </c>
    </row>
    <row r="17" spans="1:9" s="25" customFormat="1" x14ac:dyDescent="0.25">
      <c r="A17" s="25" t="s">
        <v>122</v>
      </c>
      <c r="B17" s="25" t="s">
        <v>123</v>
      </c>
      <c r="C17" s="26" t="s">
        <v>124</v>
      </c>
      <c r="E17" s="27" t="s">
        <v>53</v>
      </c>
      <c r="F17" s="27"/>
      <c r="G17" s="27">
        <v>1</v>
      </c>
      <c r="H17" s="23">
        <v>1</v>
      </c>
      <c r="I17" s="25" t="s">
        <v>119</v>
      </c>
    </row>
    <row r="18" spans="1:9" s="25" customFormat="1" ht="30" x14ac:dyDescent="0.25">
      <c r="A18" s="25" t="s">
        <v>126</v>
      </c>
      <c r="B18" s="25" t="s">
        <v>62</v>
      </c>
      <c r="C18" s="26" t="s">
        <v>127</v>
      </c>
      <c r="E18" s="27" t="s">
        <v>53</v>
      </c>
      <c r="F18" s="27"/>
      <c r="G18" s="27" t="s">
        <v>128</v>
      </c>
      <c r="H18" s="23" t="s">
        <v>128</v>
      </c>
      <c r="I18" s="25" t="s">
        <v>119</v>
      </c>
    </row>
    <row r="19" spans="1:9" s="25" customFormat="1" x14ac:dyDescent="0.25">
      <c r="A19" s="25" t="s">
        <v>19</v>
      </c>
      <c r="B19" s="25" t="s">
        <v>20</v>
      </c>
      <c r="C19" s="26" t="s">
        <v>125</v>
      </c>
      <c r="D19" s="25" t="s">
        <v>92</v>
      </c>
      <c r="E19" s="27" t="s">
        <v>53</v>
      </c>
      <c r="F19" s="27"/>
      <c r="G19" s="27">
        <v>0</v>
      </c>
      <c r="H19" s="27">
        <v>1</v>
      </c>
      <c r="I19" s="51" t="s">
        <v>185</v>
      </c>
    </row>
  </sheetData>
  <mergeCells count="1">
    <mergeCell ref="B3:I3"/>
  </mergeCells>
  <hyperlinks>
    <hyperlink ref="A1" location="Index!A1" display="Index" xr:uid="{4ED4A1E5-CF7A-4998-801A-D663F53F5821}"/>
    <hyperlink ref="I19" location="'Process Metadata'!A25" display="Import_Batch_Process_Task" xr:uid="{13B557BD-A73C-4763-B032-4A7AA36E71F1}"/>
    <hyperlink ref="H12" r:id="rId1" xr:uid="{DDE138AA-01D4-4CDD-BEC0-B939CC22A067}"/>
  </hyperlinks>
  <pageMargins left="0.7" right="0.7" top="0.75" bottom="0.75" header="0.3" footer="0.3"/>
  <pageSetup paperSize="9" orientation="portrait" horizontalDpi="4294967293" vertic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0E15-0810-4CBD-B596-FA0E7E092CC9}">
  <sheetPr>
    <tabColor rgb="FFFFFF99"/>
  </sheetPr>
  <dimension ref="A1:I22"/>
  <sheetViews>
    <sheetView showOutlineSymbols="0" zoomScale="130" zoomScaleNormal="130" workbookViewId="0"/>
  </sheetViews>
  <sheetFormatPr defaultColWidth="36.28515625" defaultRowHeight="15" x14ac:dyDescent="0.25"/>
  <cols>
    <col min="1" max="1" width="37.7109375" style="3" bestFit="1" customWidth="1"/>
    <col min="2" max="2" width="16.140625" style="3" bestFit="1" customWidth="1"/>
    <col min="3" max="3" width="35.5703125" style="4" bestFit="1" customWidth="1"/>
    <col min="4" max="4" width="16.5703125" style="3" customWidth="1"/>
    <col min="5" max="5" width="13.140625" style="23" bestFit="1" customWidth="1"/>
    <col min="6" max="6" width="14.42578125" style="23" bestFit="1" customWidth="1"/>
    <col min="7" max="7" width="16.85546875" style="23" bestFit="1" customWidth="1"/>
    <col min="8" max="8" width="24.7109375" style="23" bestFit="1" customWidth="1"/>
    <col min="9" max="9" width="29.140625" style="3" bestFit="1" customWidth="1"/>
    <col min="10" max="16384" width="36.28515625" style="3"/>
  </cols>
  <sheetData>
    <row r="1" spans="1:9" x14ac:dyDescent="0.25">
      <c r="A1" s="5" t="s">
        <v>5</v>
      </c>
    </row>
    <row r="2" spans="1:9" x14ac:dyDescent="0.25">
      <c r="A2" s="6" t="s">
        <v>114</v>
      </c>
      <c r="B2" s="6" t="s">
        <v>276</v>
      </c>
      <c r="C2" s="2"/>
    </row>
    <row r="3" spans="1:9" x14ac:dyDescent="0.25">
      <c r="A3" s="6" t="s">
        <v>43</v>
      </c>
      <c r="B3" s="103" t="s">
        <v>496</v>
      </c>
      <c r="C3" s="103"/>
      <c r="D3" s="103"/>
      <c r="E3" s="103"/>
      <c r="F3" s="103"/>
      <c r="G3" s="103"/>
      <c r="H3" s="103"/>
      <c r="I3" s="103"/>
    </row>
    <row r="5" spans="1:9" ht="30" x14ac:dyDescent="0.25">
      <c r="A5" s="24" t="s">
        <v>15</v>
      </c>
      <c r="B5" s="24" t="s">
        <v>16</v>
      </c>
      <c r="C5" s="24" t="s">
        <v>7</v>
      </c>
      <c r="D5" s="24" t="s">
        <v>44</v>
      </c>
      <c r="E5" s="24" t="s">
        <v>46</v>
      </c>
      <c r="F5" s="76" t="s">
        <v>47</v>
      </c>
      <c r="G5" s="24" t="s">
        <v>48</v>
      </c>
      <c r="H5" s="24" t="s">
        <v>183</v>
      </c>
      <c r="I5" s="24" t="s">
        <v>49</v>
      </c>
    </row>
    <row r="6" spans="1:9" x14ac:dyDescent="0.25">
      <c r="A6" s="3" t="s">
        <v>434</v>
      </c>
      <c r="B6" s="4" t="s">
        <v>20</v>
      </c>
      <c r="C6" s="4" t="s">
        <v>51</v>
      </c>
      <c r="D6" s="3" t="s">
        <v>52</v>
      </c>
      <c r="E6" s="23" t="s">
        <v>53</v>
      </c>
      <c r="G6" s="23">
        <v>0</v>
      </c>
      <c r="H6" s="23">
        <v>1</v>
      </c>
    </row>
    <row r="7" spans="1:9" s="48" customFormat="1" x14ac:dyDescent="0.25">
      <c r="A7" s="48" t="s">
        <v>334</v>
      </c>
      <c r="B7" s="49" t="s">
        <v>20</v>
      </c>
      <c r="C7" s="49" t="s">
        <v>277</v>
      </c>
      <c r="D7" s="48" t="s">
        <v>115</v>
      </c>
      <c r="E7" s="50">
        <v>0</v>
      </c>
      <c r="F7" s="50"/>
      <c r="G7" s="50">
        <v>0</v>
      </c>
      <c r="H7" s="50">
        <v>4</v>
      </c>
    </row>
    <row r="8" spans="1:9" s="29" customFormat="1" ht="30" x14ac:dyDescent="0.25">
      <c r="A8" s="29" t="s">
        <v>336</v>
      </c>
      <c r="B8" s="4" t="s">
        <v>403</v>
      </c>
      <c r="C8" s="79" t="s">
        <v>413</v>
      </c>
      <c r="D8" s="29" t="s">
        <v>53</v>
      </c>
      <c r="E8" s="80" t="s">
        <v>477</v>
      </c>
      <c r="F8" s="80" t="s">
        <v>414</v>
      </c>
      <c r="G8" s="80" t="s">
        <v>116</v>
      </c>
      <c r="H8" s="23" t="s">
        <v>415</v>
      </c>
      <c r="I8" s="29" t="s">
        <v>416</v>
      </c>
    </row>
    <row r="9" spans="1:9" s="29" customFormat="1" x14ac:dyDescent="0.25">
      <c r="A9" s="29" t="s">
        <v>417</v>
      </c>
      <c r="B9" s="4" t="s">
        <v>20</v>
      </c>
      <c r="C9" s="79" t="s">
        <v>418</v>
      </c>
      <c r="D9" s="29" t="s">
        <v>53</v>
      </c>
      <c r="E9" s="80" t="s">
        <v>479</v>
      </c>
      <c r="F9" s="29">
        <v>-1</v>
      </c>
      <c r="G9" s="80">
        <v>-1</v>
      </c>
      <c r="H9" s="23">
        <v>12</v>
      </c>
    </row>
    <row r="10" spans="1:9" s="29" customFormat="1" x14ac:dyDescent="0.25">
      <c r="A10" s="29" t="s">
        <v>512</v>
      </c>
      <c r="B10" s="4" t="s">
        <v>419</v>
      </c>
      <c r="C10" s="79" t="s">
        <v>420</v>
      </c>
      <c r="D10" s="29" t="s">
        <v>53</v>
      </c>
      <c r="E10" s="80" t="s">
        <v>477</v>
      </c>
      <c r="F10" s="80" t="s">
        <v>372</v>
      </c>
      <c r="G10" s="80" t="s">
        <v>372</v>
      </c>
      <c r="H10" s="23" t="s">
        <v>373</v>
      </c>
    </row>
    <row r="11" spans="1:9" s="29" customFormat="1" x14ac:dyDescent="0.25">
      <c r="A11" s="29" t="s">
        <v>513</v>
      </c>
      <c r="B11" s="4" t="s">
        <v>419</v>
      </c>
      <c r="C11" s="79" t="s">
        <v>421</v>
      </c>
      <c r="D11" s="29" t="s">
        <v>53</v>
      </c>
      <c r="E11" s="80" t="s">
        <v>477</v>
      </c>
      <c r="F11" s="80" t="s">
        <v>374</v>
      </c>
      <c r="G11" s="80" t="s">
        <v>374</v>
      </c>
      <c r="H11" s="23" t="s">
        <v>375</v>
      </c>
    </row>
    <row r="12" spans="1:9" s="29" customFormat="1" x14ac:dyDescent="0.25">
      <c r="A12" s="29" t="s">
        <v>514</v>
      </c>
      <c r="B12" s="4" t="s">
        <v>58</v>
      </c>
      <c r="C12" s="79" t="s">
        <v>422</v>
      </c>
      <c r="D12" s="29" t="s">
        <v>53</v>
      </c>
      <c r="E12" s="80" t="s">
        <v>477</v>
      </c>
      <c r="F12" s="84" t="s">
        <v>387</v>
      </c>
      <c r="G12" s="84" t="s">
        <v>387</v>
      </c>
      <c r="H12" s="39" t="s">
        <v>423</v>
      </c>
    </row>
    <row r="13" spans="1:9" s="29" customFormat="1" x14ac:dyDescent="0.25">
      <c r="A13" s="29" t="s">
        <v>499</v>
      </c>
      <c r="B13" s="4" t="s">
        <v>500</v>
      </c>
      <c r="C13" s="79" t="s">
        <v>424</v>
      </c>
      <c r="D13" s="29" t="s">
        <v>53</v>
      </c>
      <c r="E13" s="80" t="s">
        <v>477</v>
      </c>
      <c r="F13" s="80">
        <v>-1</v>
      </c>
      <c r="G13" s="80">
        <v>-1</v>
      </c>
      <c r="H13" s="23">
        <v>0</v>
      </c>
    </row>
    <row r="14" spans="1:9" s="29" customFormat="1" x14ac:dyDescent="0.25">
      <c r="A14" s="29" t="s">
        <v>603</v>
      </c>
      <c r="B14" s="4" t="s">
        <v>150</v>
      </c>
      <c r="C14" s="79" t="s">
        <v>426</v>
      </c>
      <c r="D14" s="29" t="s">
        <v>53</v>
      </c>
      <c r="E14" s="80" t="s">
        <v>479</v>
      </c>
      <c r="F14" s="80">
        <v>-1</v>
      </c>
      <c r="G14" s="80">
        <v>-1</v>
      </c>
      <c r="H14" s="23">
        <v>47.84</v>
      </c>
    </row>
    <row r="15" spans="1:9" s="29" customFormat="1" x14ac:dyDescent="0.25">
      <c r="A15" s="29" t="s">
        <v>516</v>
      </c>
      <c r="B15" s="4" t="s">
        <v>427</v>
      </c>
      <c r="C15" s="79" t="s">
        <v>428</v>
      </c>
      <c r="D15" s="29" t="s">
        <v>53</v>
      </c>
      <c r="E15" s="80" t="s">
        <v>479</v>
      </c>
      <c r="F15" s="80" t="s">
        <v>388</v>
      </c>
      <c r="G15" s="80" t="s">
        <v>388</v>
      </c>
      <c r="H15" s="23" t="s">
        <v>429</v>
      </c>
    </row>
    <row r="16" spans="1:9" s="29" customFormat="1" x14ac:dyDescent="0.25">
      <c r="A16" s="29" t="s">
        <v>515</v>
      </c>
      <c r="B16" s="4" t="s">
        <v>150</v>
      </c>
      <c r="C16" s="2" t="s">
        <v>425</v>
      </c>
      <c r="D16" s="29" t="s">
        <v>53</v>
      </c>
      <c r="E16" s="80" t="s">
        <v>477</v>
      </c>
      <c r="F16" s="80">
        <v>-1</v>
      </c>
      <c r="G16" s="10">
        <v>-1</v>
      </c>
      <c r="H16" s="86">
        <v>30</v>
      </c>
    </row>
    <row r="17" spans="1:9" customFormat="1" ht="15" customHeight="1" x14ac:dyDescent="0.25">
      <c r="A17" t="s">
        <v>605</v>
      </c>
      <c r="B17" t="s">
        <v>604</v>
      </c>
      <c r="C17" s="2" t="s">
        <v>367</v>
      </c>
      <c r="F17" s="10" t="s">
        <v>552</v>
      </c>
      <c r="G17" s="10" t="s">
        <v>552</v>
      </c>
      <c r="H17" t="s">
        <v>382</v>
      </c>
    </row>
    <row r="18" spans="1:9" s="25" customFormat="1" x14ac:dyDescent="0.25">
      <c r="A18" s="25" t="s">
        <v>117</v>
      </c>
      <c r="B18" s="25" t="s">
        <v>54</v>
      </c>
      <c r="C18" s="26" t="s">
        <v>118</v>
      </c>
      <c r="E18" s="27" t="s">
        <v>53</v>
      </c>
      <c r="F18" s="28"/>
      <c r="G18" s="28">
        <v>1</v>
      </c>
      <c r="H18" s="39">
        <v>43101</v>
      </c>
      <c r="I18" s="25" t="s">
        <v>119</v>
      </c>
    </row>
    <row r="19" spans="1:9" s="25" customFormat="1" x14ac:dyDescent="0.25">
      <c r="A19" s="25" t="s">
        <v>120</v>
      </c>
      <c r="B19" s="25" t="s">
        <v>54</v>
      </c>
      <c r="C19" s="26" t="s">
        <v>121</v>
      </c>
      <c r="E19" s="27" t="s">
        <v>53</v>
      </c>
      <c r="F19" s="28"/>
      <c r="G19" s="28">
        <v>2958465</v>
      </c>
      <c r="H19" s="39">
        <v>401404</v>
      </c>
      <c r="I19" s="25" t="s">
        <v>119</v>
      </c>
    </row>
    <row r="20" spans="1:9" s="25" customFormat="1" x14ac:dyDescent="0.25">
      <c r="A20" s="25" t="s">
        <v>122</v>
      </c>
      <c r="B20" s="25" t="s">
        <v>123</v>
      </c>
      <c r="C20" s="26" t="s">
        <v>124</v>
      </c>
      <c r="E20" s="27" t="s">
        <v>53</v>
      </c>
      <c r="F20" s="27"/>
      <c r="G20" s="27">
        <v>1</v>
      </c>
      <c r="H20" s="23">
        <v>1</v>
      </c>
      <c r="I20" s="25" t="s">
        <v>119</v>
      </c>
    </row>
    <row r="21" spans="1:9" s="25" customFormat="1" ht="30" x14ac:dyDescent="0.25">
      <c r="A21" s="25" t="s">
        <v>126</v>
      </c>
      <c r="B21" s="25" t="s">
        <v>62</v>
      </c>
      <c r="C21" s="26" t="s">
        <v>127</v>
      </c>
      <c r="E21" s="27" t="s">
        <v>53</v>
      </c>
      <c r="F21" s="27"/>
      <c r="G21" s="27" t="s">
        <v>128</v>
      </c>
      <c r="H21" s="23" t="s">
        <v>128</v>
      </c>
      <c r="I21" s="25" t="s">
        <v>119</v>
      </c>
    </row>
    <row r="22" spans="1:9" s="25" customFormat="1" x14ac:dyDescent="0.25">
      <c r="A22" s="25" t="s">
        <v>19</v>
      </c>
      <c r="B22" s="25" t="s">
        <v>20</v>
      </c>
      <c r="C22" s="26" t="s">
        <v>125</v>
      </c>
      <c r="D22" s="25" t="s">
        <v>92</v>
      </c>
      <c r="E22" s="27" t="s">
        <v>53</v>
      </c>
      <c r="F22" s="27"/>
      <c r="G22" s="27">
        <v>0</v>
      </c>
      <c r="H22" s="27">
        <v>1</v>
      </c>
      <c r="I22" s="51" t="s">
        <v>185</v>
      </c>
    </row>
  </sheetData>
  <mergeCells count="1">
    <mergeCell ref="B3:I3"/>
  </mergeCells>
  <hyperlinks>
    <hyperlink ref="A1" location="Index!A1" display="Index" xr:uid="{83772D25-C735-4CDC-A3D5-5CD11D8BAF66}"/>
    <hyperlink ref="I22" location="'Process Metadata'!A25" display="Import_Batch_Process_Task" xr:uid="{B8F935F5-82A8-442A-8EBE-AB718D967657}"/>
  </hyperlinks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2647-5D69-4FE2-9D04-B6310E1FF9F6}">
  <sheetPr>
    <tabColor rgb="FFFFFF99"/>
  </sheetPr>
  <dimension ref="A1:I13"/>
  <sheetViews>
    <sheetView tabSelected="1" showOutlineSymbols="0" zoomScale="130" zoomScaleNormal="130" workbookViewId="0">
      <selection activeCell="C17" sqref="C17"/>
    </sheetView>
  </sheetViews>
  <sheetFormatPr defaultColWidth="36.28515625" defaultRowHeight="15" x14ac:dyDescent="0.25"/>
  <cols>
    <col min="1" max="1" width="30" style="3" bestFit="1" customWidth="1"/>
    <col min="2" max="2" width="16.140625" style="3" bestFit="1" customWidth="1"/>
    <col min="3" max="3" width="35.5703125" style="4" bestFit="1" customWidth="1"/>
    <col min="4" max="4" width="16.5703125" style="3" customWidth="1"/>
    <col min="5" max="5" width="13.140625" style="23" bestFit="1" customWidth="1"/>
    <col min="6" max="6" width="16.28515625" style="23" bestFit="1" customWidth="1"/>
    <col min="7" max="7" width="16.85546875" style="23" bestFit="1" customWidth="1"/>
    <col min="8" max="8" width="24.7109375" style="23" bestFit="1" customWidth="1"/>
    <col min="9" max="9" width="29.140625" style="3" bestFit="1" customWidth="1"/>
    <col min="10" max="16384" width="36.28515625" style="3"/>
  </cols>
  <sheetData>
    <row r="1" spans="1:9" x14ac:dyDescent="0.25">
      <c r="A1" s="5" t="s">
        <v>5</v>
      </c>
    </row>
    <row r="2" spans="1:9" x14ac:dyDescent="0.25">
      <c r="A2" s="6" t="s">
        <v>114</v>
      </c>
      <c r="B2" s="6" t="s">
        <v>276</v>
      </c>
      <c r="C2" s="2"/>
    </row>
    <row r="3" spans="1:9" x14ac:dyDescent="0.25">
      <c r="A3" s="6" t="s">
        <v>43</v>
      </c>
      <c r="B3" s="103" t="s">
        <v>608</v>
      </c>
      <c r="C3" s="103"/>
      <c r="D3" s="103"/>
      <c r="E3" s="103"/>
      <c r="F3" s="103"/>
      <c r="G3" s="103"/>
      <c r="H3" s="103"/>
      <c r="I3" s="103"/>
    </row>
    <row r="5" spans="1:9" ht="30" x14ac:dyDescent="0.25">
      <c r="A5" s="24" t="s">
        <v>15</v>
      </c>
      <c r="B5" s="24" t="s">
        <v>16</v>
      </c>
      <c r="C5" s="24" t="s">
        <v>7</v>
      </c>
      <c r="D5" s="24" t="s">
        <v>44</v>
      </c>
      <c r="E5" s="24" t="s">
        <v>46</v>
      </c>
      <c r="F5" s="76" t="s">
        <v>47</v>
      </c>
      <c r="G5" s="24" t="s">
        <v>48</v>
      </c>
      <c r="H5" s="24" t="s">
        <v>183</v>
      </c>
      <c r="I5" s="24" t="s">
        <v>49</v>
      </c>
    </row>
    <row r="6" spans="1:9" x14ac:dyDescent="0.25">
      <c r="A6" s="3" t="s">
        <v>430</v>
      </c>
      <c r="B6" s="4" t="s">
        <v>20</v>
      </c>
      <c r="C6" s="4" t="s">
        <v>51</v>
      </c>
      <c r="D6" s="3" t="s">
        <v>52</v>
      </c>
      <c r="E6" s="23" t="s">
        <v>53</v>
      </c>
      <c r="G6" s="23">
        <v>0</v>
      </c>
      <c r="H6" s="23">
        <v>1</v>
      </c>
    </row>
    <row r="7" spans="1:9" s="48" customFormat="1" x14ac:dyDescent="0.25">
      <c r="A7" s="48" t="s">
        <v>431</v>
      </c>
      <c r="B7" s="49" t="s">
        <v>20</v>
      </c>
      <c r="C7" s="49" t="s">
        <v>277</v>
      </c>
      <c r="D7" s="48" t="s">
        <v>115</v>
      </c>
      <c r="E7" s="50">
        <v>0</v>
      </c>
      <c r="F7" s="50"/>
      <c r="G7" s="50">
        <v>0</v>
      </c>
      <c r="H7" s="50">
        <v>152</v>
      </c>
    </row>
    <row r="8" spans="1:9" s="29" customFormat="1" x14ac:dyDescent="0.25">
      <c r="A8" s="29" t="s">
        <v>432</v>
      </c>
      <c r="B8" s="4" t="s">
        <v>419</v>
      </c>
      <c r="C8" s="79" t="s">
        <v>433</v>
      </c>
      <c r="D8" s="29" t="s">
        <v>53</v>
      </c>
      <c r="E8" s="80" t="s">
        <v>479</v>
      </c>
      <c r="F8" s="80" t="s">
        <v>404</v>
      </c>
      <c r="G8" s="80" t="s">
        <v>116</v>
      </c>
      <c r="H8" s="23" t="s">
        <v>265</v>
      </c>
    </row>
    <row r="9" spans="1:9" s="29" customFormat="1" x14ac:dyDescent="0.25">
      <c r="B9" s="4"/>
      <c r="C9" s="79"/>
      <c r="E9" s="80"/>
      <c r="F9" s="84"/>
      <c r="G9" s="84"/>
      <c r="H9" s="39"/>
    </row>
    <row r="10" spans="1:9" s="29" customFormat="1" x14ac:dyDescent="0.25">
      <c r="B10"/>
      <c r="C10" s="2"/>
      <c r="E10" s="80"/>
      <c r="F10" s="80"/>
      <c r="G10" s="66"/>
      <c r="H10" s="39"/>
    </row>
    <row r="11" spans="1:9" s="25" customFormat="1" x14ac:dyDescent="0.25">
      <c r="A11" s="25" t="s">
        <v>117</v>
      </c>
      <c r="B11" s="25" t="s">
        <v>54</v>
      </c>
      <c r="C11" s="26" t="s">
        <v>118</v>
      </c>
      <c r="E11" s="27" t="s">
        <v>53</v>
      </c>
      <c r="F11" s="28"/>
      <c r="G11" s="28">
        <v>1</v>
      </c>
      <c r="H11" s="39">
        <v>43101</v>
      </c>
      <c r="I11" s="25" t="s">
        <v>119</v>
      </c>
    </row>
    <row r="12" spans="1:9" s="25" customFormat="1" ht="30" x14ac:dyDescent="0.25">
      <c r="A12" s="25" t="s">
        <v>126</v>
      </c>
      <c r="B12" s="25" t="s">
        <v>62</v>
      </c>
      <c r="C12" s="26" t="s">
        <v>127</v>
      </c>
      <c r="E12" s="27" t="s">
        <v>53</v>
      </c>
      <c r="F12" s="27"/>
      <c r="G12" s="27" t="s">
        <v>128</v>
      </c>
      <c r="H12" s="23" t="s">
        <v>128</v>
      </c>
      <c r="I12" s="25" t="s">
        <v>119</v>
      </c>
    </row>
    <row r="13" spans="1:9" s="25" customFormat="1" x14ac:dyDescent="0.25">
      <c r="A13" s="25" t="s">
        <v>19</v>
      </c>
      <c r="B13" s="25" t="s">
        <v>20</v>
      </c>
      <c r="C13" s="26" t="s">
        <v>125</v>
      </c>
      <c r="D13" s="25" t="s">
        <v>92</v>
      </c>
      <c r="E13" s="27" t="s">
        <v>53</v>
      </c>
      <c r="F13" s="27"/>
      <c r="G13" s="27">
        <v>0</v>
      </c>
      <c r="H13" s="27">
        <v>1</v>
      </c>
      <c r="I13" s="51" t="s">
        <v>185</v>
      </c>
    </row>
  </sheetData>
  <mergeCells count="1">
    <mergeCell ref="B3:I3"/>
  </mergeCells>
  <hyperlinks>
    <hyperlink ref="A1" location="Index!A1" display="Index" xr:uid="{AB14D245-CE5B-4942-90E8-A15F680ED83F}"/>
    <hyperlink ref="I13" location="'Process Metadata'!A25" display="Import_Batch_Process_Task" xr:uid="{9608A83B-9E2F-4854-83DF-B6039F570F8A}"/>
  </hyperlinks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E5"/>
  <sheetViews>
    <sheetView showOutlineSymbols="0" workbookViewId="0"/>
  </sheetViews>
  <sheetFormatPr defaultColWidth="8.85546875" defaultRowHeight="15" x14ac:dyDescent="0.25"/>
  <cols>
    <col min="1" max="1" width="40.140625" style="3" bestFit="1" customWidth="1"/>
    <col min="2" max="2" width="31.7109375" style="3" bestFit="1" customWidth="1"/>
    <col min="3" max="3" width="28" style="4" customWidth="1"/>
    <col min="4" max="4" width="34.7109375" style="4" bestFit="1" customWidth="1"/>
    <col min="5" max="5" width="52.7109375" style="3" bestFit="1" customWidth="1"/>
    <col min="6" max="16384" width="8.85546875" style="3"/>
  </cols>
  <sheetData>
    <row r="1" spans="1:5" x14ac:dyDescent="0.25">
      <c r="A1" s="5" t="s">
        <v>5</v>
      </c>
    </row>
    <row r="2" spans="1:5" s="6" customFormat="1" x14ac:dyDescent="0.25">
      <c r="A2" s="6" t="s">
        <v>148</v>
      </c>
      <c r="B2" s="6" t="s">
        <v>1</v>
      </c>
      <c r="C2" s="6" t="s">
        <v>2</v>
      </c>
      <c r="D2" s="7" t="s">
        <v>3</v>
      </c>
      <c r="E2" s="6" t="s">
        <v>4</v>
      </c>
    </row>
    <row r="3" spans="1:5" x14ac:dyDescent="0.25">
      <c r="A3" s="5" t="s">
        <v>244</v>
      </c>
      <c r="B3" s="3" t="s">
        <v>245</v>
      </c>
      <c r="C3" s="4" t="s">
        <v>240</v>
      </c>
      <c r="D3" s="4" t="s">
        <v>246</v>
      </c>
      <c r="E3" s="4" t="s">
        <v>132</v>
      </c>
    </row>
    <row r="4" spans="1:5" x14ac:dyDescent="0.25">
      <c r="A4" s="95" t="s">
        <v>394</v>
      </c>
      <c r="B4" s="3" t="s">
        <v>454</v>
      </c>
      <c r="C4" s="4" t="s">
        <v>240</v>
      </c>
      <c r="D4" s="4" t="s">
        <v>457</v>
      </c>
      <c r="E4" s="3" t="s">
        <v>132</v>
      </c>
    </row>
    <row r="5" spans="1:5" x14ac:dyDescent="0.25">
      <c r="A5" s="5" t="s">
        <v>395</v>
      </c>
      <c r="B5" s="3" t="s">
        <v>455</v>
      </c>
      <c r="C5" s="4" t="s">
        <v>240</v>
      </c>
      <c r="D5" s="4" t="s">
        <v>456</v>
      </c>
      <c r="E5" s="3" t="s">
        <v>132</v>
      </c>
    </row>
  </sheetData>
  <hyperlinks>
    <hyperlink ref="A1" location="Index!A1" display="Index" xr:uid="{00000000-0004-0000-0300-000000000000}"/>
    <hyperlink ref="A3" location="SF_Customer!A1" display="SF_Customer" xr:uid="{81579C4F-900D-4A07-8796-7F5BC3245FBE}"/>
    <hyperlink ref="A4" location="'SF_Invoice Lines'!A1" display="'SF_Invoice Lines'!A1" xr:uid="{6B7EAD9B-7710-4EFC-A5A9-BD25471AE1F5}"/>
    <hyperlink ref="A5" location="SF_Stock_Items!A1" display="SF_Stock_Items!A1" xr:uid="{B0832252-EA9F-4201-9D62-75922BC3D2CC}"/>
  </hyperlink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E593-7161-4636-9E52-DB542C5B29A5}">
  <sheetPr>
    <tabColor rgb="FF92D050"/>
  </sheetPr>
  <dimension ref="A1:H16"/>
  <sheetViews>
    <sheetView showOutlineSymbols="0" workbookViewId="0"/>
  </sheetViews>
  <sheetFormatPr defaultRowHeight="15" x14ac:dyDescent="0.25"/>
  <cols>
    <col min="1" max="1" width="25.42578125" customWidth="1"/>
    <col min="2" max="2" width="25.7109375" bestFit="1" customWidth="1"/>
    <col min="3" max="3" width="39.28515625" bestFit="1" customWidth="1"/>
    <col min="4" max="4" width="10.28515625" bestFit="1" customWidth="1"/>
    <col min="5" max="5" width="23.140625" customWidth="1"/>
    <col min="6" max="6" width="24.28515625" style="10" bestFit="1" customWidth="1"/>
    <col min="7" max="7" width="14.140625" style="10" bestFit="1" customWidth="1"/>
    <col min="8" max="8" width="29.140625" customWidth="1"/>
  </cols>
  <sheetData>
    <row r="1" spans="1:8" x14ac:dyDescent="0.25">
      <c r="A1" s="5" t="s">
        <v>5</v>
      </c>
    </row>
    <row r="2" spans="1:8" s="8" customFormat="1" ht="45" x14ac:dyDescent="0.25">
      <c r="A2" s="9" t="s">
        <v>18</v>
      </c>
      <c r="B2" s="9" t="s">
        <v>133</v>
      </c>
      <c r="C2" s="9" t="s">
        <v>7</v>
      </c>
      <c r="D2" s="9" t="s">
        <v>10</v>
      </c>
      <c r="E2" s="9" t="s">
        <v>135</v>
      </c>
      <c r="F2" s="9" t="s">
        <v>8</v>
      </c>
      <c r="G2" s="9" t="s">
        <v>9</v>
      </c>
      <c r="H2" s="9" t="s">
        <v>136</v>
      </c>
    </row>
    <row r="3" spans="1:8" x14ac:dyDescent="0.25">
      <c r="A3" t="s">
        <v>241</v>
      </c>
      <c r="B3" t="s">
        <v>243</v>
      </c>
      <c r="C3" s="2" t="s">
        <v>255</v>
      </c>
      <c r="D3" t="s">
        <v>11</v>
      </c>
      <c r="E3" t="s">
        <v>137</v>
      </c>
      <c r="F3" s="10">
        <v>1</v>
      </c>
      <c r="G3" s="10">
        <v>869</v>
      </c>
      <c r="H3" t="s">
        <v>256</v>
      </c>
    </row>
    <row r="4" spans="1:8" x14ac:dyDescent="0.25">
      <c r="A4" t="s">
        <v>247</v>
      </c>
      <c r="B4" t="s">
        <v>254</v>
      </c>
      <c r="C4" s="2" t="s">
        <v>257</v>
      </c>
      <c r="E4" t="s">
        <v>137</v>
      </c>
      <c r="F4" s="10" t="s">
        <v>264</v>
      </c>
      <c r="G4" s="10" t="s">
        <v>266</v>
      </c>
    </row>
    <row r="5" spans="1:8" ht="30" x14ac:dyDescent="0.25">
      <c r="A5" t="s">
        <v>248</v>
      </c>
      <c r="B5" t="s">
        <v>258</v>
      </c>
      <c r="C5" s="2" t="s">
        <v>259</v>
      </c>
      <c r="D5" t="s">
        <v>11</v>
      </c>
      <c r="E5" t="s">
        <v>137</v>
      </c>
      <c r="F5" s="10">
        <v>3</v>
      </c>
      <c r="G5" s="10">
        <v>3</v>
      </c>
      <c r="H5" t="s">
        <v>270</v>
      </c>
    </row>
    <row r="6" spans="1:8" x14ac:dyDescent="0.25">
      <c r="A6" t="s">
        <v>249</v>
      </c>
      <c r="B6" t="s">
        <v>254</v>
      </c>
      <c r="C6" s="2" t="s">
        <v>260</v>
      </c>
      <c r="E6" t="s">
        <v>261</v>
      </c>
      <c r="F6" s="10" t="s">
        <v>265</v>
      </c>
      <c r="H6" t="s">
        <v>271</v>
      </c>
    </row>
    <row r="7" spans="1:8" x14ac:dyDescent="0.25">
      <c r="A7" t="s">
        <v>250</v>
      </c>
      <c r="B7" t="s">
        <v>134</v>
      </c>
      <c r="C7" s="2" t="s">
        <v>262</v>
      </c>
      <c r="E7" t="s">
        <v>261</v>
      </c>
      <c r="G7" s="10">
        <v>3858.75</v>
      </c>
    </row>
    <row r="8" spans="1:8" x14ac:dyDescent="0.25">
      <c r="A8" t="s">
        <v>251</v>
      </c>
      <c r="B8" t="s">
        <v>242</v>
      </c>
      <c r="C8" s="2" t="s">
        <v>263</v>
      </c>
      <c r="E8" t="s">
        <v>137</v>
      </c>
      <c r="F8" s="66">
        <v>41275</v>
      </c>
      <c r="G8" s="66">
        <v>41275</v>
      </c>
    </row>
    <row r="9" spans="1:8" x14ac:dyDescent="0.25">
      <c r="C9" s="2"/>
    </row>
    <row r="10" spans="1:8" x14ac:dyDescent="0.25">
      <c r="C10" s="2"/>
    </row>
    <row r="11" spans="1:8" x14ac:dyDescent="0.25">
      <c r="C11" s="2"/>
    </row>
    <row r="12" spans="1:8" x14ac:dyDescent="0.25">
      <c r="C12" s="2"/>
    </row>
    <row r="13" spans="1:8" x14ac:dyDescent="0.25">
      <c r="C13" s="2"/>
    </row>
    <row r="14" spans="1:8" x14ac:dyDescent="0.25">
      <c r="C14" s="2"/>
    </row>
    <row r="15" spans="1:8" x14ac:dyDescent="0.25">
      <c r="C15" s="2"/>
    </row>
    <row r="16" spans="1:8" x14ac:dyDescent="0.25">
      <c r="C16" s="2"/>
    </row>
  </sheetData>
  <hyperlinks>
    <hyperlink ref="A1" location="Index!A1" display="Index" xr:uid="{EDE5311A-4B98-4F2B-8E95-556BE2D88051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FF30-C6E3-4B66-8D1F-5713DF94FF7A}">
  <sheetPr>
    <tabColor rgb="FF92D050"/>
  </sheetPr>
  <dimension ref="A1:H16"/>
  <sheetViews>
    <sheetView showOutlineSymbols="0" workbookViewId="0"/>
  </sheetViews>
  <sheetFormatPr defaultRowHeight="15" x14ac:dyDescent="0.25"/>
  <cols>
    <col min="1" max="1" width="25.42578125" customWidth="1"/>
    <col min="2" max="2" width="25.7109375" bestFit="1" customWidth="1"/>
    <col min="3" max="3" width="39.28515625" bestFit="1" customWidth="1"/>
    <col min="4" max="4" width="10.28515625" bestFit="1" customWidth="1"/>
    <col min="5" max="5" width="23.140625" customWidth="1"/>
    <col min="6" max="6" width="32.28515625" style="10" bestFit="1" customWidth="1"/>
    <col min="7" max="7" width="21" style="10" bestFit="1" customWidth="1"/>
    <col min="8" max="8" width="29.140625" customWidth="1"/>
  </cols>
  <sheetData>
    <row r="1" spans="1:8" x14ac:dyDescent="0.25">
      <c r="A1" s="5" t="s">
        <v>5</v>
      </c>
    </row>
    <row r="2" spans="1:8" s="8" customFormat="1" ht="45" x14ac:dyDescent="0.25">
      <c r="A2" s="9" t="s">
        <v>18</v>
      </c>
      <c r="B2" s="9" t="s">
        <v>133</v>
      </c>
      <c r="C2" s="9" t="s">
        <v>7</v>
      </c>
      <c r="D2" s="9" t="s">
        <v>10</v>
      </c>
      <c r="E2" s="9" t="s">
        <v>135</v>
      </c>
      <c r="F2" s="9" t="s">
        <v>8</v>
      </c>
      <c r="G2" s="9" t="s">
        <v>9</v>
      </c>
      <c r="H2" s="9" t="s">
        <v>136</v>
      </c>
    </row>
    <row r="3" spans="1:8" x14ac:dyDescent="0.25">
      <c r="A3" t="s">
        <v>282</v>
      </c>
      <c r="B3" t="s">
        <v>243</v>
      </c>
      <c r="C3" s="2" t="s">
        <v>286</v>
      </c>
      <c r="D3" t="s">
        <v>11</v>
      </c>
      <c r="E3" t="s">
        <v>137</v>
      </c>
      <c r="F3" s="10">
        <v>1</v>
      </c>
      <c r="G3" s="10">
        <v>869</v>
      </c>
      <c r="H3" t="s">
        <v>256</v>
      </c>
    </row>
    <row r="4" spans="1:8" x14ac:dyDescent="0.25">
      <c r="A4" t="s">
        <v>279</v>
      </c>
      <c r="B4" t="s">
        <v>254</v>
      </c>
      <c r="C4" s="2" t="s">
        <v>287</v>
      </c>
      <c r="E4" t="s">
        <v>137</v>
      </c>
      <c r="F4" s="10" t="s">
        <v>292</v>
      </c>
      <c r="G4" s="10" t="s">
        <v>295</v>
      </c>
    </row>
    <row r="5" spans="1:8" x14ac:dyDescent="0.25">
      <c r="A5" t="s">
        <v>283</v>
      </c>
      <c r="B5" t="s">
        <v>254</v>
      </c>
      <c r="C5" s="2" t="s">
        <v>288</v>
      </c>
      <c r="E5" t="s">
        <v>137</v>
      </c>
      <c r="F5" s="10" t="s">
        <v>293</v>
      </c>
      <c r="G5" s="10" t="s">
        <v>294</v>
      </c>
    </row>
    <row r="6" spans="1:8" ht="30" x14ac:dyDescent="0.25">
      <c r="A6" t="s">
        <v>284</v>
      </c>
      <c r="B6" t="s">
        <v>285</v>
      </c>
      <c r="C6" s="2" t="s">
        <v>289</v>
      </c>
      <c r="E6" t="s">
        <v>137</v>
      </c>
      <c r="F6" s="10">
        <v>0</v>
      </c>
      <c r="G6" s="10">
        <v>1</v>
      </c>
      <c r="H6" t="s">
        <v>296</v>
      </c>
    </row>
    <row r="7" spans="1:8" ht="30" x14ac:dyDescent="0.25">
      <c r="A7" t="s">
        <v>280</v>
      </c>
      <c r="B7" t="s">
        <v>285</v>
      </c>
      <c r="C7" s="2" t="s">
        <v>297</v>
      </c>
      <c r="E7" t="s">
        <v>261</v>
      </c>
      <c r="F7" s="10">
        <v>1</v>
      </c>
      <c r="G7" s="10">
        <v>0</v>
      </c>
      <c r="H7" t="s">
        <v>296</v>
      </c>
    </row>
    <row r="8" spans="1:8" x14ac:dyDescent="0.25">
      <c r="A8" t="s">
        <v>281</v>
      </c>
      <c r="B8" t="s">
        <v>290</v>
      </c>
      <c r="C8" s="2" t="s">
        <v>291</v>
      </c>
      <c r="E8" t="s">
        <v>137</v>
      </c>
      <c r="F8" s="81" t="s">
        <v>298</v>
      </c>
      <c r="G8" s="81" t="s">
        <v>299</v>
      </c>
    </row>
    <row r="9" spans="1:8" x14ac:dyDescent="0.25">
      <c r="C9" s="2"/>
    </row>
    <row r="10" spans="1:8" x14ac:dyDescent="0.25">
      <c r="C10" s="2"/>
    </row>
    <row r="11" spans="1:8" x14ac:dyDescent="0.25">
      <c r="C11" s="2"/>
    </row>
    <row r="12" spans="1:8" x14ac:dyDescent="0.25">
      <c r="C12" s="2"/>
    </row>
    <row r="13" spans="1:8" x14ac:dyDescent="0.25">
      <c r="C13" s="2"/>
    </row>
    <row r="14" spans="1:8" x14ac:dyDescent="0.25">
      <c r="C14" s="2"/>
    </row>
    <row r="15" spans="1:8" x14ac:dyDescent="0.25">
      <c r="C15" s="2"/>
    </row>
    <row r="16" spans="1:8" x14ac:dyDescent="0.25">
      <c r="C16" s="2"/>
    </row>
  </sheetData>
  <hyperlinks>
    <hyperlink ref="A1" location="Index!A1" display="Index" xr:uid="{2ABEEBDE-5F03-44FF-A7A8-6DCC9F1E7D7F}"/>
    <hyperlink ref="F8" r:id="rId1" xr:uid="{A9519508-3E83-42FA-93A8-F93930012777}"/>
    <hyperlink ref="G8" r:id="rId2" xr:uid="{6E08E237-2D92-4B98-BDE7-054350F8DF90}"/>
  </hyperlinks>
  <pageMargins left="0.7" right="0.7" top="0.75" bottom="0.75" header="0.3" footer="0.3"/>
  <pageSetup paperSize="9" orientation="portrait" horizontalDpi="4294967295" verticalDpi="4294967295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DA72-03DD-403D-8F3C-983AB90EA0EF}">
  <sheetPr>
    <tabColor rgb="FF92D050"/>
  </sheetPr>
  <dimension ref="A1:H16"/>
  <sheetViews>
    <sheetView showOutlineSymbols="0" workbookViewId="0"/>
  </sheetViews>
  <sheetFormatPr defaultRowHeight="15" x14ac:dyDescent="0.25"/>
  <cols>
    <col min="1" max="1" width="29.7109375" bestFit="1" customWidth="1"/>
    <col min="2" max="2" width="25.7109375" bestFit="1" customWidth="1"/>
    <col min="3" max="3" width="39.28515625" bestFit="1" customWidth="1"/>
    <col min="4" max="4" width="10.28515625" bestFit="1" customWidth="1"/>
    <col min="5" max="5" width="23.140625" customWidth="1"/>
    <col min="6" max="6" width="24.28515625" style="10" bestFit="1" customWidth="1"/>
    <col min="7" max="7" width="13.7109375" style="10" bestFit="1" customWidth="1"/>
    <col min="8" max="8" width="29.140625" customWidth="1"/>
  </cols>
  <sheetData>
    <row r="1" spans="1:8" x14ac:dyDescent="0.25">
      <c r="A1" s="5" t="s">
        <v>5</v>
      </c>
    </row>
    <row r="2" spans="1:8" s="8" customFormat="1" ht="45" x14ac:dyDescent="0.25">
      <c r="A2" s="9" t="s">
        <v>18</v>
      </c>
      <c r="B2" s="9" t="s">
        <v>133</v>
      </c>
      <c r="C2" s="9" t="s">
        <v>7</v>
      </c>
      <c r="D2" s="9" t="s">
        <v>10</v>
      </c>
      <c r="E2" s="9" t="s">
        <v>135</v>
      </c>
      <c r="F2" s="9" t="s">
        <v>8</v>
      </c>
      <c r="G2" s="9" t="s">
        <v>9</v>
      </c>
      <c r="H2" s="9" t="s">
        <v>136</v>
      </c>
    </row>
    <row r="3" spans="1:8" x14ac:dyDescent="0.25">
      <c r="A3" t="s">
        <v>307</v>
      </c>
      <c r="B3" t="s">
        <v>311</v>
      </c>
      <c r="C3" s="2" t="s">
        <v>317</v>
      </c>
      <c r="D3" t="s">
        <v>11</v>
      </c>
      <c r="E3" t="s">
        <v>137</v>
      </c>
      <c r="F3" s="10">
        <v>79235</v>
      </c>
      <c r="G3" s="10">
        <v>79236</v>
      </c>
    </row>
    <row r="4" spans="1:8" x14ac:dyDescent="0.25">
      <c r="A4" t="s">
        <v>308</v>
      </c>
      <c r="B4" t="s">
        <v>312</v>
      </c>
      <c r="C4" s="2" t="s">
        <v>318</v>
      </c>
      <c r="D4" t="s">
        <v>11</v>
      </c>
      <c r="E4" t="s">
        <v>137</v>
      </c>
      <c r="F4" s="10">
        <v>249833</v>
      </c>
      <c r="G4" s="10">
        <v>249834</v>
      </c>
    </row>
    <row r="5" spans="1:8" x14ac:dyDescent="0.25">
      <c r="A5" t="s">
        <v>309</v>
      </c>
      <c r="B5" t="s">
        <v>313</v>
      </c>
      <c r="C5" s="2" t="s">
        <v>319</v>
      </c>
      <c r="E5" t="s">
        <v>137</v>
      </c>
      <c r="F5" s="66">
        <v>45292</v>
      </c>
      <c r="G5" s="66">
        <v>45292</v>
      </c>
    </row>
    <row r="6" spans="1:8" x14ac:dyDescent="0.25">
      <c r="A6" t="s">
        <v>241</v>
      </c>
      <c r="B6" t="s">
        <v>243</v>
      </c>
      <c r="C6" s="2" t="s">
        <v>310</v>
      </c>
      <c r="D6" t="s">
        <v>11</v>
      </c>
      <c r="E6" t="s">
        <v>137</v>
      </c>
      <c r="F6" s="10">
        <v>152</v>
      </c>
      <c r="G6" s="10">
        <v>1129</v>
      </c>
    </row>
    <row r="7" spans="1:8" x14ac:dyDescent="0.25">
      <c r="A7" t="s">
        <v>347</v>
      </c>
      <c r="B7" t="s">
        <v>243</v>
      </c>
      <c r="C7" s="2" t="s">
        <v>320</v>
      </c>
      <c r="D7" t="s">
        <v>11</v>
      </c>
      <c r="E7" t="s">
        <v>137</v>
      </c>
      <c r="F7" s="10">
        <v>8</v>
      </c>
      <c r="G7" s="10">
        <v>2</v>
      </c>
    </row>
    <row r="8" spans="1:8" x14ac:dyDescent="0.25">
      <c r="A8" t="s">
        <v>348</v>
      </c>
      <c r="B8" t="s">
        <v>243</v>
      </c>
      <c r="C8" s="2" t="s">
        <v>321</v>
      </c>
      <c r="D8" t="s">
        <v>11</v>
      </c>
      <c r="E8" t="s">
        <v>137</v>
      </c>
      <c r="F8" s="10">
        <v>78</v>
      </c>
      <c r="G8" s="82">
        <v>95</v>
      </c>
    </row>
    <row r="9" spans="1:8" x14ac:dyDescent="0.25">
      <c r="A9" t="s">
        <v>349</v>
      </c>
      <c r="B9" t="s">
        <v>243</v>
      </c>
      <c r="C9" s="2" t="s">
        <v>322</v>
      </c>
      <c r="D9" t="s">
        <v>11</v>
      </c>
      <c r="E9" t="s">
        <v>137</v>
      </c>
      <c r="F9" s="10">
        <v>7</v>
      </c>
      <c r="G9" s="10">
        <v>7</v>
      </c>
    </row>
    <row r="10" spans="1:8" x14ac:dyDescent="0.25">
      <c r="A10" t="s">
        <v>350</v>
      </c>
      <c r="B10" t="s">
        <v>314</v>
      </c>
      <c r="C10" s="2" t="s">
        <v>323</v>
      </c>
      <c r="E10" t="s">
        <v>137</v>
      </c>
      <c r="F10" s="10" t="s">
        <v>330</v>
      </c>
      <c r="G10" s="10" t="s">
        <v>331</v>
      </c>
    </row>
    <row r="11" spans="1:8" x14ac:dyDescent="0.25">
      <c r="A11" t="s">
        <v>351</v>
      </c>
      <c r="B11" t="s">
        <v>243</v>
      </c>
      <c r="C11" s="2" t="s">
        <v>324</v>
      </c>
      <c r="E11" t="s">
        <v>137</v>
      </c>
      <c r="F11" s="10">
        <v>84</v>
      </c>
      <c r="G11" s="10">
        <v>36</v>
      </c>
    </row>
    <row r="12" spans="1:8" ht="30" x14ac:dyDescent="0.25">
      <c r="A12" t="s">
        <v>352</v>
      </c>
      <c r="B12" t="s">
        <v>315</v>
      </c>
      <c r="C12" s="2" t="s">
        <v>326</v>
      </c>
      <c r="E12" t="s">
        <v>137</v>
      </c>
      <c r="F12" s="10">
        <v>18</v>
      </c>
      <c r="G12" s="10">
        <v>18</v>
      </c>
    </row>
    <row r="13" spans="1:8" x14ac:dyDescent="0.25">
      <c r="A13" t="s">
        <v>354</v>
      </c>
      <c r="B13" t="s">
        <v>315</v>
      </c>
      <c r="C13" s="2" t="s">
        <v>325</v>
      </c>
      <c r="E13" t="s">
        <v>137</v>
      </c>
      <c r="F13" s="10">
        <v>15</v>
      </c>
      <c r="G13" s="10">
        <v>15</v>
      </c>
    </row>
    <row r="14" spans="1:8" x14ac:dyDescent="0.25">
      <c r="A14" t="s">
        <v>353</v>
      </c>
      <c r="B14" t="s">
        <v>315</v>
      </c>
      <c r="C14" s="2" t="s">
        <v>327</v>
      </c>
      <c r="E14" t="s">
        <v>137</v>
      </c>
      <c r="F14" s="10" t="s">
        <v>332</v>
      </c>
      <c r="G14" s="10" t="s">
        <v>333</v>
      </c>
    </row>
    <row r="15" spans="1:8" ht="30" x14ac:dyDescent="0.25">
      <c r="A15" t="s">
        <v>355</v>
      </c>
      <c r="B15" t="s">
        <v>316</v>
      </c>
      <c r="C15" s="2" t="s">
        <v>328</v>
      </c>
      <c r="E15" t="s">
        <v>137</v>
      </c>
      <c r="F15" s="10">
        <v>924</v>
      </c>
      <c r="G15" s="10">
        <v>378</v>
      </c>
    </row>
    <row r="16" spans="1:8" ht="30" x14ac:dyDescent="0.25">
      <c r="A16" t="s">
        <v>356</v>
      </c>
      <c r="B16" t="s">
        <v>315</v>
      </c>
      <c r="C16" s="2" t="s">
        <v>329</v>
      </c>
      <c r="E16" t="s">
        <v>137</v>
      </c>
      <c r="F16" s="10">
        <v>1738.8</v>
      </c>
      <c r="G16" s="10">
        <v>745.2</v>
      </c>
    </row>
  </sheetData>
  <hyperlinks>
    <hyperlink ref="A1" location="Index!A1" display="Index" xr:uid="{DD22650F-3111-4136-96A5-F8E166EDBB05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920A-5917-47E5-B4D2-ECD76AFB5859}">
  <sheetPr>
    <tabColor rgb="FF92D050"/>
  </sheetPr>
  <dimension ref="A1:H15"/>
  <sheetViews>
    <sheetView showOutlineSymbols="0" workbookViewId="0"/>
  </sheetViews>
  <sheetFormatPr defaultRowHeight="15" x14ac:dyDescent="0.25"/>
  <cols>
    <col min="1" max="1" width="31.42578125" bestFit="1" customWidth="1"/>
    <col min="2" max="2" width="25.7109375" bestFit="1" customWidth="1"/>
    <col min="3" max="3" width="39.28515625" bestFit="1" customWidth="1"/>
    <col min="4" max="4" width="10.28515625" bestFit="1" customWidth="1"/>
    <col min="5" max="5" width="23.140625" customWidth="1"/>
    <col min="6" max="6" width="24.28515625" style="10" bestFit="1" customWidth="1"/>
    <col min="7" max="7" width="13.7109375" style="10" bestFit="1" customWidth="1"/>
    <col min="8" max="8" width="29.140625" customWidth="1"/>
  </cols>
  <sheetData>
    <row r="1" spans="1:8" x14ac:dyDescent="0.25">
      <c r="A1" s="5" t="s">
        <v>5</v>
      </c>
    </row>
    <row r="2" spans="1:8" s="8" customFormat="1" ht="45" x14ac:dyDescent="0.25">
      <c r="A2" s="9" t="s">
        <v>18</v>
      </c>
      <c r="B2" s="9" t="s">
        <v>133</v>
      </c>
      <c r="C2" s="9" t="s">
        <v>7</v>
      </c>
      <c r="D2" s="9" t="s">
        <v>10</v>
      </c>
      <c r="E2" s="9" t="s">
        <v>135</v>
      </c>
      <c r="F2" s="9" t="s">
        <v>8</v>
      </c>
      <c r="G2" s="9" t="s">
        <v>9</v>
      </c>
      <c r="H2" s="9" t="s">
        <v>136</v>
      </c>
    </row>
    <row r="3" spans="1:8" x14ac:dyDescent="0.25">
      <c r="A3" t="s">
        <v>334</v>
      </c>
      <c r="B3" t="s">
        <v>243</v>
      </c>
      <c r="C3" s="2" t="s">
        <v>335</v>
      </c>
      <c r="D3" t="s">
        <v>11</v>
      </c>
      <c r="E3" t="s">
        <v>137</v>
      </c>
      <c r="F3" s="10">
        <v>4</v>
      </c>
      <c r="G3" s="10">
        <v>67</v>
      </c>
      <c r="H3" t="s">
        <v>256</v>
      </c>
    </row>
    <row r="4" spans="1:8" x14ac:dyDescent="0.25">
      <c r="A4" t="s">
        <v>336</v>
      </c>
      <c r="B4" t="s">
        <v>337</v>
      </c>
      <c r="C4" s="2" t="s">
        <v>361</v>
      </c>
      <c r="E4" t="s">
        <v>137</v>
      </c>
      <c r="F4" s="10" t="s">
        <v>370</v>
      </c>
      <c r="G4" s="10" t="s">
        <v>371</v>
      </c>
    </row>
    <row r="5" spans="1:8" x14ac:dyDescent="0.25">
      <c r="A5" t="s">
        <v>338</v>
      </c>
      <c r="B5" t="s">
        <v>258</v>
      </c>
      <c r="C5" s="2" t="s">
        <v>362</v>
      </c>
      <c r="D5" t="s">
        <v>11</v>
      </c>
      <c r="E5" t="s">
        <v>137</v>
      </c>
      <c r="F5" s="10">
        <v>12</v>
      </c>
      <c r="G5" s="10">
        <v>10</v>
      </c>
      <c r="H5" t="s">
        <v>270</v>
      </c>
    </row>
    <row r="6" spans="1:8" x14ac:dyDescent="0.25">
      <c r="A6" t="s">
        <v>340</v>
      </c>
      <c r="B6" t="s">
        <v>134</v>
      </c>
      <c r="C6" s="2" t="s">
        <v>262</v>
      </c>
      <c r="E6" t="s">
        <v>369</v>
      </c>
      <c r="F6" s="10" t="s">
        <v>372</v>
      </c>
      <c r="G6" s="10" t="s">
        <v>373</v>
      </c>
    </row>
    <row r="7" spans="1:8" x14ac:dyDescent="0.25">
      <c r="A7" t="s">
        <v>341</v>
      </c>
      <c r="B7" t="s">
        <v>242</v>
      </c>
      <c r="C7" s="2" t="s">
        <v>263</v>
      </c>
      <c r="E7" t="s">
        <v>261</v>
      </c>
      <c r="F7" s="10" t="s">
        <v>374</v>
      </c>
      <c r="G7" s="66" t="s">
        <v>375</v>
      </c>
    </row>
    <row r="8" spans="1:8" x14ac:dyDescent="0.25">
      <c r="A8" t="s">
        <v>342</v>
      </c>
      <c r="B8" t="s">
        <v>357</v>
      </c>
      <c r="C8" s="2" t="s">
        <v>363</v>
      </c>
      <c r="E8" t="s">
        <v>261</v>
      </c>
      <c r="F8" s="10" t="s">
        <v>376</v>
      </c>
      <c r="G8" s="10" t="s">
        <v>377</v>
      </c>
    </row>
    <row r="9" spans="1:8" x14ac:dyDescent="0.25">
      <c r="A9" t="s">
        <v>343</v>
      </c>
      <c r="B9" t="s">
        <v>358</v>
      </c>
      <c r="C9" s="2" t="s">
        <v>364</v>
      </c>
      <c r="E9" t="s">
        <v>137</v>
      </c>
      <c r="F9" s="10">
        <v>0</v>
      </c>
      <c r="G9" s="10">
        <v>0</v>
      </c>
    </row>
    <row r="10" spans="1:8" x14ac:dyDescent="0.25">
      <c r="A10" t="s">
        <v>344</v>
      </c>
      <c r="B10" t="s">
        <v>134</v>
      </c>
      <c r="C10" s="2" t="s">
        <v>365</v>
      </c>
      <c r="E10" t="s">
        <v>137</v>
      </c>
      <c r="F10" s="10" t="s">
        <v>378</v>
      </c>
      <c r="G10" s="10" t="s">
        <v>379</v>
      </c>
    </row>
    <row r="11" spans="1:8" ht="30" x14ac:dyDescent="0.25">
      <c r="A11" t="s">
        <v>346</v>
      </c>
      <c r="B11" t="s">
        <v>359</v>
      </c>
      <c r="C11" s="2" t="s">
        <v>366</v>
      </c>
      <c r="F11" s="10" t="s">
        <v>380</v>
      </c>
      <c r="G11" s="10">
        <v>343.85</v>
      </c>
    </row>
    <row r="12" spans="1:8" x14ac:dyDescent="0.25">
      <c r="A12" t="s">
        <v>345</v>
      </c>
      <c r="B12" t="s">
        <v>360</v>
      </c>
      <c r="C12" s="2" t="s">
        <v>367</v>
      </c>
      <c r="F12" s="10" t="s">
        <v>381</v>
      </c>
      <c r="G12" s="10" t="s">
        <v>382</v>
      </c>
    </row>
    <row r="13" spans="1:8" ht="45" x14ac:dyDescent="0.25">
      <c r="A13" t="s">
        <v>339</v>
      </c>
      <c r="B13" t="s">
        <v>258</v>
      </c>
      <c r="C13" s="2" t="s">
        <v>368</v>
      </c>
      <c r="F13" s="10" t="s">
        <v>383</v>
      </c>
      <c r="G13" s="10" t="s">
        <v>384</v>
      </c>
    </row>
    <row r="14" spans="1:8" x14ac:dyDescent="0.25">
      <c r="C14" s="2"/>
    </row>
    <row r="15" spans="1:8" x14ac:dyDescent="0.25">
      <c r="C15" s="2"/>
    </row>
  </sheetData>
  <hyperlinks>
    <hyperlink ref="A1" location="Index!A1" display="Index" xr:uid="{B064F74C-290D-4FB1-BB7F-51F721856E10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showOutlineSymbols="0" zoomScale="120" zoomScaleNormal="120" workbookViewId="0"/>
  </sheetViews>
  <sheetFormatPr defaultRowHeight="15" x14ac:dyDescent="0.25"/>
  <cols>
    <col min="1" max="1" width="35.85546875" customWidth="1"/>
    <col min="2" max="2" width="69.28515625" customWidth="1"/>
    <col min="3" max="3" width="29.85546875" customWidth="1"/>
    <col min="4" max="4" width="11.42578125" bestFit="1" customWidth="1"/>
    <col min="5" max="5" width="19.42578125" customWidth="1"/>
    <col min="6" max="6" width="16.140625" bestFit="1" customWidth="1"/>
  </cols>
  <sheetData>
    <row r="1" spans="1:6" x14ac:dyDescent="0.25">
      <c r="A1" s="5" t="s">
        <v>5</v>
      </c>
    </row>
    <row r="2" spans="1:6" x14ac:dyDescent="0.25">
      <c r="A2" t="s">
        <v>12</v>
      </c>
    </row>
    <row r="3" spans="1:6" x14ac:dyDescent="0.25">
      <c r="A3" t="s">
        <v>153</v>
      </c>
    </row>
    <row r="4" spans="1:6" x14ac:dyDescent="0.25">
      <c r="A4" t="s">
        <v>13</v>
      </c>
    </row>
    <row r="5" spans="1:6" x14ac:dyDescent="0.25">
      <c r="A5" t="s">
        <v>253</v>
      </c>
    </row>
    <row r="8" spans="1:6" x14ac:dyDescent="0.25">
      <c r="A8" s="100" t="s">
        <v>14</v>
      </c>
      <c r="B8" s="100"/>
      <c r="C8" s="100"/>
      <c r="D8" s="100"/>
      <c r="E8" s="100"/>
      <c r="F8" s="100"/>
    </row>
    <row r="9" spans="1:6" x14ac:dyDescent="0.25">
      <c r="A9" s="11" t="s">
        <v>21</v>
      </c>
      <c r="B9" s="11" t="s">
        <v>7</v>
      </c>
      <c r="C9" s="11" t="s">
        <v>2</v>
      </c>
      <c r="D9" s="11" t="s">
        <v>22</v>
      </c>
      <c r="E9" s="6" t="s">
        <v>154</v>
      </c>
      <c r="F9" s="11" t="s">
        <v>23</v>
      </c>
    </row>
    <row r="10" spans="1:6" x14ac:dyDescent="0.25">
      <c r="A10" s="63" t="s">
        <v>274</v>
      </c>
      <c r="B10" t="s">
        <v>480</v>
      </c>
      <c r="C10" t="s">
        <v>481</v>
      </c>
      <c r="D10" t="s">
        <v>482</v>
      </c>
      <c r="E10" t="s">
        <v>244</v>
      </c>
      <c r="F10" t="s">
        <v>274</v>
      </c>
    </row>
    <row r="11" spans="1:6" x14ac:dyDescent="0.25">
      <c r="A11" s="63" t="s">
        <v>458</v>
      </c>
      <c r="B11" t="s">
        <v>483</v>
      </c>
      <c r="C11" t="s">
        <v>481</v>
      </c>
      <c r="D11" t="s">
        <v>482</v>
      </c>
      <c r="E11" t="s">
        <v>484</v>
      </c>
      <c r="F11" t="s">
        <v>274</v>
      </c>
    </row>
    <row r="12" spans="1:6" x14ac:dyDescent="0.25">
      <c r="A12" s="63" t="s">
        <v>459</v>
      </c>
      <c r="B12" t="s">
        <v>485</v>
      </c>
      <c r="C12" t="s">
        <v>481</v>
      </c>
      <c r="D12" t="s">
        <v>482</v>
      </c>
      <c r="E12" t="s">
        <v>486</v>
      </c>
      <c r="F12" t="s">
        <v>489</v>
      </c>
    </row>
    <row r="13" spans="1:6" x14ac:dyDescent="0.25">
      <c r="A13" s="1" t="s">
        <v>460</v>
      </c>
      <c r="B13" t="s">
        <v>487</v>
      </c>
      <c r="C13" t="s">
        <v>481</v>
      </c>
      <c r="D13" t="s">
        <v>482</v>
      </c>
      <c r="E13" t="s">
        <v>488</v>
      </c>
      <c r="F13" t="s">
        <v>460</v>
      </c>
    </row>
    <row r="14" spans="1:6" ht="15.75" thickBot="1" x14ac:dyDescent="0.3">
      <c r="A14" s="100" t="s">
        <v>173</v>
      </c>
      <c r="B14" s="100"/>
      <c r="C14" s="100"/>
      <c r="D14" s="100"/>
      <c r="E14" s="100"/>
      <c r="F14" s="100"/>
    </row>
    <row r="15" spans="1:6" ht="15.75" thickTop="1" x14ac:dyDescent="0.25">
      <c r="A15" s="11" t="s">
        <v>21</v>
      </c>
      <c r="B15" s="11" t="s">
        <v>7</v>
      </c>
      <c r="C15" s="101" t="s">
        <v>163</v>
      </c>
      <c r="D15" s="101"/>
      <c r="E15" s="101"/>
      <c r="F15" s="11"/>
    </row>
    <row r="16" spans="1:6" x14ac:dyDescent="0.25">
      <c r="A16" t="s">
        <v>583</v>
      </c>
      <c r="B16" t="s">
        <v>587</v>
      </c>
      <c r="C16" t="s">
        <v>274</v>
      </c>
    </row>
    <row r="17" spans="1:6" x14ac:dyDescent="0.25">
      <c r="A17" t="s">
        <v>584</v>
      </c>
      <c r="B17" t="s">
        <v>588</v>
      </c>
      <c r="C17" t="s">
        <v>459</v>
      </c>
    </row>
    <row r="18" spans="1:6" x14ac:dyDescent="0.25">
      <c r="A18" t="s">
        <v>585</v>
      </c>
      <c r="B18" t="s">
        <v>589</v>
      </c>
      <c r="C18" t="s">
        <v>458</v>
      </c>
    </row>
    <row r="19" spans="1:6" x14ac:dyDescent="0.25">
      <c r="A19" t="s">
        <v>586</v>
      </c>
      <c r="B19" t="s">
        <v>590</v>
      </c>
      <c r="C19" t="s">
        <v>460</v>
      </c>
    </row>
    <row r="20" spans="1:6" x14ac:dyDescent="0.25">
      <c r="B20" s="2"/>
      <c r="C20" s="1"/>
    </row>
    <row r="21" spans="1:6" x14ac:dyDescent="0.25">
      <c r="B21" s="2"/>
      <c r="C21" s="1"/>
    </row>
    <row r="23" spans="1:6" ht="15.75" thickBot="1" x14ac:dyDescent="0.3">
      <c r="A23" s="102" t="s">
        <v>24</v>
      </c>
      <c r="B23" s="102"/>
      <c r="C23" s="102"/>
      <c r="D23" s="102"/>
      <c r="E23" s="102"/>
      <c r="F23" s="102"/>
    </row>
    <row r="24" spans="1:6" ht="15.75" thickTop="1" x14ac:dyDescent="0.25">
      <c r="A24" s="8" t="s">
        <v>21</v>
      </c>
      <c r="B24" s="8" t="s">
        <v>7</v>
      </c>
      <c r="C24" s="101" t="s">
        <v>172</v>
      </c>
      <c r="D24" s="101"/>
      <c r="E24" s="101"/>
      <c r="F24" s="8" t="s">
        <v>23</v>
      </c>
    </row>
    <row r="25" spans="1:6" x14ac:dyDescent="0.25">
      <c r="A25" s="1" t="s">
        <v>25</v>
      </c>
      <c r="B25" t="s">
        <v>33</v>
      </c>
      <c r="C25" t="s">
        <v>34</v>
      </c>
      <c r="F25" t="s">
        <v>26</v>
      </c>
    </row>
    <row r="26" spans="1:6" ht="30" x14ac:dyDescent="0.25">
      <c r="A26" s="1" t="s">
        <v>27</v>
      </c>
      <c r="B26" t="s">
        <v>28</v>
      </c>
      <c r="C26" s="2" t="s">
        <v>170</v>
      </c>
      <c r="F26" t="s">
        <v>29</v>
      </c>
    </row>
    <row r="27" spans="1:6" ht="30" x14ac:dyDescent="0.25">
      <c r="A27" s="1" t="s">
        <v>30</v>
      </c>
      <c r="B27" t="s">
        <v>31</v>
      </c>
      <c r="C27" s="2" t="s">
        <v>171</v>
      </c>
      <c r="F27" t="s">
        <v>32</v>
      </c>
    </row>
    <row r="29" spans="1:6" ht="15.75" thickBot="1" x14ac:dyDescent="0.3">
      <c r="A29" s="102" t="s">
        <v>161</v>
      </c>
      <c r="B29" s="102"/>
      <c r="C29" s="102"/>
      <c r="D29" s="102"/>
      <c r="E29" s="102"/>
      <c r="F29" s="102"/>
    </row>
    <row r="30" spans="1:6" ht="15.75" thickTop="1" x14ac:dyDescent="0.25">
      <c r="A30" s="8" t="s">
        <v>21</v>
      </c>
      <c r="B30" s="8" t="s">
        <v>7</v>
      </c>
      <c r="C30" s="101" t="s">
        <v>163</v>
      </c>
      <c r="D30" s="101"/>
      <c r="E30" s="101"/>
      <c r="F30" s="8"/>
    </row>
    <row r="31" spans="1:6" x14ac:dyDescent="0.25">
      <c r="A31" s="1" t="s">
        <v>159</v>
      </c>
      <c r="B31" t="s">
        <v>162</v>
      </c>
      <c r="C31" t="s">
        <v>25</v>
      </c>
    </row>
  </sheetData>
  <mergeCells count="7">
    <mergeCell ref="C30:E30"/>
    <mergeCell ref="C15:E15"/>
    <mergeCell ref="A8:F8"/>
    <mergeCell ref="A23:F23"/>
    <mergeCell ref="C24:E24"/>
    <mergeCell ref="A29:F29"/>
    <mergeCell ref="A14:F14"/>
  </mergeCells>
  <hyperlinks>
    <hyperlink ref="A1" location="Index!A1" display="Index" xr:uid="{00000000-0004-0000-0500-000000000000}"/>
    <hyperlink ref="A25" location="'Process Metadata'!A5" display="Import_Batch" xr:uid="{00000000-0004-0000-0500-000001000000}"/>
    <hyperlink ref="A26" location="'Process Metadata'!A16" display="Import_Batch_Process" xr:uid="{00000000-0004-0000-0500-000002000000}"/>
    <hyperlink ref="A27" location="'Process Metadata'!A25" display="Import_Batch_Process_Task" xr:uid="{00000000-0004-0000-0500-000003000000}"/>
    <hyperlink ref="A31" location="'Process Metadata'!J5" display="V_IB_Latest" xr:uid="{00000000-0004-0000-0500-000006000000}"/>
    <hyperlink ref="A10" location="S1_Customer!A1" display="S1_Customer" xr:uid="{9111E88B-6F44-4368-B712-0DDEE8DAB4E5}"/>
    <hyperlink ref="A11" location="S1_Person!A1" display="S1_Person" xr:uid="{F6C08501-3512-40ED-BE0D-C7C278D90774}"/>
    <hyperlink ref="A12" location="S1_Invoice_Lines!A1" display="S1_Invoice_Lines" xr:uid="{F2C4B40C-AA4B-46E7-932B-537BBB70C537}"/>
    <hyperlink ref="A13" location="S1_Stock_Items!A1" display="S1_Stock_Items" xr:uid="{64325160-FD2F-4D8E-9CB4-CD1A2CB6BAA2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A174-A900-4A6B-B706-943F363A3C75}">
  <sheetPr>
    <tabColor rgb="FF92D050"/>
  </sheetPr>
  <dimension ref="A1:H10"/>
  <sheetViews>
    <sheetView showOutlineSymbols="0" zoomScale="115" zoomScaleNormal="115" workbookViewId="0"/>
  </sheetViews>
  <sheetFormatPr defaultColWidth="21.28515625" defaultRowHeight="15" x14ac:dyDescent="0.25"/>
  <cols>
    <col min="1" max="1" width="29.42578125" customWidth="1"/>
    <col min="2" max="2" width="15.5703125" customWidth="1"/>
    <col min="3" max="3" width="7.5703125" customWidth="1"/>
    <col min="4" max="4" width="39.85546875" style="2" customWidth="1"/>
    <col min="5" max="5" width="21.7109375" style="10" bestFit="1" customWidth="1"/>
    <col min="6" max="6" width="24.28515625" bestFit="1" customWidth="1"/>
    <col min="7" max="7" width="21.140625" bestFit="1" customWidth="1"/>
    <col min="8" max="8" width="30.7109375" bestFit="1" customWidth="1"/>
  </cols>
  <sheetData>
    <row r="1" spans="1:8" x14ac:dyDescent="0.25">
      <c r="A1" s="5" t="s">
        <v>5</v>
      </c>
    </row>
    <row r="3" spans="1:8" ht="45" x14ac:dyDescent="0.25">
      <c r="A3" s="9" t="s">
        <v>15</v>
      </c>
      <c r="B3" s="9" t="s">
        <v>16</v>
      </c>
      <c r="C3" s="9" t="s">
        <v>157</v>
      </c>
      <c r="D3" s="9" t="s">
        <v>7</v>
      </c>
      <c r="E3" s="9" t="s">
        <v>138</v>
      </c>
      <c r="F3" s="9" t="s">
        <v>17</v>
      </c>
      <c r="G3" s="9" t="s">
        <v>139</v>
      </c>
      <c r="H3" s="9" t="s">
        <v>140</v>
      </c>
    </row>
    <row r="4" spans="1:8" x14ac:dyDescent="0.25">
      <c r="A4" s="42" t="s">
        <v>238</v>
      </c>
      <c r="B4" s="42" t="s">
        <v>20</v>
      </c>
      <c r="C4" s="42" t="s">
        <v>130</v>
      </c>
      <c r="D4" s="44" t="s">
        <v>255</v>
      </c>
      <c r="E4" s="43"/>
      <c r="F4" s="43">
        <v>1</v>
      </c>
      <c r="G4" s="43">
        <v>869</v>
      </c>
      <c r="H4" s="97" t="s">
        <v>149</v>
      </c>
    </row>
    <row r="5" spans="1:8" x14ac:dyDescent="0.25">
      <c r="A5" t="s">
        <v>239</v>
      </c>
      <c r="B5" t="s">
        <v>35</v>
      </c>
      <c r="C5" t="s">
        <v>130</v>
      </c>
      <c r="D5" s="2" t="s">
        <v>257</v>
      </c>
      <c r="E5" s="10" t="s">
        <v>116</v>
      </c>
      <c r="F5" s="10" t="s">
        <v>264</v>
      </c>
      <c r="G5" s="10" t="s">
        <v>266</v>
      </c>
      <c r="H5" s="10"/>
    </row>
    <row r="6" spans="1:8" ht="30" x14ac:dyDescent="0.25">
      <c r="A6" t="s">
        <v>267</v>
      </c>
      <c r="B6" t="s">
        <v>20</v>
      </c>
      <c r="C6" t="s">
        <v>130</v>
      </c>
      <c r="D6" s="2" t="s">
        <v>259</v>
      </c>
      <c r="E6" s="10">
        <v>-1</v>
      </c>
      <c r="F6" s="10">
        <v>3</v>
      </c>
      <c r="G6" s="10">
        <v>3</v>
      </c>
    </row>
    <row r="7" spans="1:8" x14ac:dyDescent="0.25">
      <c r="A7" t="s">
        <v>268</v>
      </c>
      <c r="B7" t="s">
        <v>35</v>
      </c>
      <c r="C7" t="s">
        <v>130</v>
      </c>
      <c r="D7" s="2" t="s">
        <v>260</v>
      </c>
      <c r="E7" s="10" t="s">
        <v>272</v>
      </c>
      <c r="F7" s="10" t="s">
        <v>265</v>
      </c>
      <c r="G7" s="10" t="s">
        <v>272</v>
      </c>
      <c r="H7" s="2"/>
    </row>
    <row r="8" spans="1:8" x14ac:dyDescent="0.25">
      <c r="A8" t="s">
        <v>269</v>
      </c>
      <c r="B8" t="s">
        <v>150</v>
      </c>
      <c r="C8" t="s">
        <v>130</v>
      </c>
      <c r="D8" s="2" t="s">
        <v>262</v>
      </c>
      <c r="E8" s="10">
        <v>-1</v>
      </c>
      <c r="F8" s="10">
        <v>-1</v>
      </c>
      <c r="G8" s="10">
        <v>3858.75</v>
      </c>
      <c r="H8" s="2"/>
    </row>
    <row r="9" spans="1:8" x14ac:dyDescent="0.25">
      <c r="A9" t="s">
        <v>273</v>
      </c>
      <c r="B9" t="s">
        <v>54</v>
      </c>
      <c r="C9" t="s">
        <v>130</v>
      </c>
      <c r="D9" s="2" t="s">
        <v>263</v>
      </c>
      <c r="E9" s="66">
        <v>1</v>
      </c>
      <c r="F9" s="66">
        <v>41275</v>
      </c>
      <c r="G9" s="66">
        <v>41275</v>
      </c>
      <c r="H9" s="2"/>
    </row>
    <row r="10" spans="1:8" x14ac:dyDescent="0.25">
      <c r="A10" t="s">
        <v>19</v>
      </c>
      <c r="B10" s="30" t="s">
        <v>20</v>
      </c>
      <c r="C10" t="s">
        <v>130</v>
      </c>
      <c r="D10" s="32" t="s">
        <v>141</v>
      </c>
      <c r="E10" s="31"/>
      <c r="F10" s="10">
        <v>1</v>
      </c>
      <c r="G10" s="10">
        <v>1</v>
      </c>
      <c r="H10" s="31" t="s">
        <v>142</v>
      </c>
    </row>
  </sheetData>
  <hyperlinks>
    <hyperlink ref="A1" location="Index!A1" display="Index" xr:uid="{5BE38924-D266-4442-9C3A-5688BD77235E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39C9-2002-4A99-8E31-D76D9B62A66E}">
  <sheetPr>
    <tabColor rgb="FF92D050"/>
  </sheetPr>
  <dimension ref="A1:H10"/>
  <sheetViews>
    <sheetView showOutlineSymbols="0" zoomScale="115" zoomScaleNormal="115" workbookViewId="0"/>
  </sheetViews>
  <sheetFormatPr defaultColWidth="21.28515625" defaultRowHeight="15" x14ac:dyDescent="0.25"/>
  <cols>
    <col min="1" max="1" width="29.42578125" customWidth="1"/>
    <col min="2" max="2" width="15.5703125" customWidth="1"/>
    <col min="3" max="3" width="7.5703125" customWidth="1"/>
    <col min="4" max="4" width="39.85546875" style="2" customWidth="1"/>
    <col min="5" max="5" width="21.7109375" style="10" bestFit="1" customWidth="1"/>
    <col min="6" max="6" width="24.28515625" bestFit="1" customWidth="1"/>
    <col min="7" max="7" width="21.140625" bestFit="1" customWidth="1"/>
    <col min="8" max="8" width="30.7109375" bestFit="1" customWidth="1"/>
  </cols>
  <sheetData>
    <row r="1" spans="1:8" x14ac:dyDescent="0.25">
      <c r="A1" s="5" t="s">
        <v>5</v>
      </c>
    </row>
    <row r="3" spans="1:8" ht="45" x14ac:dyDescent="0.25">
      <c r="A3" s="9" t="s">
        <v>15</v>
      </c>
      <c r="B3" s="9" t="s">
        <v>16</v>
      </c>
      <c r="C3" s="9" t="s">
        <v>157</v>
      </c>
      <c r="D3" s="9" t="s">
        <v>7</v>
      </c>
      <c r="E3" s="9" t="s">
        <v>138</v>
      </c>
      <c r="F3" s="9" t="s">
        <v>17</v>
      </c>
      <c r="G3" s="9" t="s">
        <v>139</v>
      </c>
      <c r="H3" s="9" t="s">
        <v>140</v>
      </c>
    </row>
    <row r="4" spans="1:8" x14ac:dyDescent="0.25">
      <c r="A4" t="s">
        <v>278</v>
      </c>
      <c r="B4" t="s">
        <v>20</v>
      </c>
      <c r="C4" t="s">
        <v>130</v>
      </c>
      <c r="D4" s="2" t="s">
        <v>286</v>
      </c>
      <c r="F4" s="10">
        <v>1</v>
      </c>
      <c r="G4" s="10">
        <v>869</v>
      </c>
      <c r="H4" s="33" t="s">
        <v>149</v>
      </c>
    </row>
    <row r="5" spans="1:8" x14ac:dyDescent="0.25">
      <c r="A5" t="s">
        <v>505</v>
      </c>
      <c r="B5" t="s">
        <v>35</v>
      </c>
      <c r="C5" t="s">
        <v>130</v>
      </c>
      <c r="D5" s="2" t="s">
        <v>287</v>
      </c>
      <c r="F5" s="10" t="s">
        <v>264</v>
      </c>
      <c r="G5" s="10" t="s">
        <v>266</v>
      </c>
      <c r="H5" s="33" t="s">
        <v>149</v>
      </c>
    </row>
    <row r="6" spans="1:8" x14ac:dyDescent="0.25">
      <c r="A6" t="s">
        <v>506</v>
      </c>
      <c r="B6" t="s">
        <v>35</v>
      </c>
      <c r="C6" t="s">
        <v>130</v>
      </c>
      <c r="D6" s="2" t="s">
        <v>300</v>
      </c>
      <c r="E6" s="10" t="s">
        <v>304</v>
      </c>
      <c r="F6" s="10">
        <v>3</v>
      </c>
      <c r="G6" s="10">
        <v>3</v>
      </c>
    </row>
    <row r="7" spans="1:8" ht="30" x14ac:dyDescent="0.25">
      <c r="A7" t="s">
        <v>507</v>
      </c>
      <c r="B7" t="s">
        <v>500</v>
      </c>
      <c r="C7" t="s">
        <v>130</v>
      </c>
      <c r="D7" s="2" t="s">
        <v>303</v>
      </c>
      <c r="F7" s="10">
        <v>0</v>
      </c>
      <c r="G7" s="10">
        <v>1</v>
      </c>
      <c r="H7" s="33" t="s">
        <v>149</v>
      </c>
    </row>
    <row r="8" spans="1:8" ht="30" x14ac:dyDescent="0.25">
      <c r="A8" t="s">
        <v>497</v>
      </c>
      <c r="B8" t="s">
        <v>500</v>
      </c>
      <c r="C8" t="s">
        <v>130</v>
      </c>
      <c r="D8" s="2" t="s">
        <v>302</v>
      </c>
      <c r="F8" s="10">
        <v>0</v>
      </c>
      <c r="G8" s="10">
        <v>1</v>
      </c>
      <c r="H8" s="33" t="s">
        <v>149</v>
      </c>
    </row>
    <row r="9" spans="1:8" x14ac:dyDescent="0.25">
      <c r="A9" t="s">
        <v>281</v>
      </c>
      <c r="B9" t="s">
        <v>35</v>
      </c>
      <c r="C9" t="s">
        <v>130</v>
      </c>
      <c r="D9" s="2" t="s">
        <v>301</v>
      </c>
      <c r="F9" s="1" t="s">
        <v>305</v>
      </c>
      <c r="G9" s="1" t="s">
        <v>306</v>
      </c>
      <c r="H9" s="33" t="s">
        <v>149</v>
      </c>
    </row>
    <row r="10" spans="1:8" x14ac:dyDescent="0.25">
      <c r="A10" t="s">
        <v>19</v>
      </c>
      <c r="B10" s="30" t="s">
        <v>20</v>
      </c>
      <c r="C10" t="s">
        <v>130</v>
      </c>
      <c r="D10" s="32" t="s">
        <v>141</v>
      </c>
      <c r="E10" s="31"/>
      <c r="F10" s="10">
        <v>1</v>
      </c>
      <c r="G10" s="10">
        <v>1</v>
      </c>
      <c r="H10" s="31" t="s">
        <v>142</v>
      </c>
    </row>
  </sheetData>
  <hyperlinks>
    <hyperlink ref="A1" location="Index!A1" display="Index" xr:uid="{04AF75D6-FEC3-43DA-80BC-0B98B249735C}"/>
    <hyperlink ref="F9" r:id="rId1" xr:uid="{389A92D9-A172-4177-A162-BE0943E30513}"/>
    <hyperlink ref="G9" r:id="rId2" xr:uid="{0DE26BA1-0B6B-4FD5-AED1-3BB27BFA6F19}"/>
  </hyperlinks>
  <pageMargins left="0.7" right="0.7" top="0.75" bottom="0.75" header="0.3" footer="0.3"/>
  <pageSetup paperSize="9" orientation="portrait" horizontalDpi="4294967295" verticalDpi="4294967295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BCC9-05AA-42AE-B6FD-3EE9DBE53B6D}">
  <sheetPr>
    <tabColor rgb="FF92D050"/>
  </sheetPr>
  <dimension ref="A1:I15"/>
  <sheetViews>
    <sheetView showOutlineSymbols="0" zoomScale="89" zoomScaleNormal="89" workbookViewId="0"/>
  </sheetViews>
  <sheetFormatPr defaultColWidth="21.28515625" defaultRowHeight="15" x14ac:dyDescent="0.25"/>
  <cols>
    <col min="1" max="1" width="35.7109375" bestFit="1" customWidth="1"/>
    <col min="2" max="2" width="15.5703125" customWidth="1"/>
    <col min="3" max="3" width="5.85546875" customWidth="1"/>
    <col min="4" max="4" width="7.5703125" customWidth="1"/>
    <col min="5" max="5" width="40.7109375" style="2" bestFit="1" customWidth="1"/>
    <col min="6" max="6" width="24.140625" style="10" bestFit="1" customWidth="1"/>
    <col min="7" max="7" width="12.7109375" bestFit="1" customWidth="1"/>
    <col min="8" max="8" width="17" bestFit="1" customWidth="1"/>
    <col min="9" max="9" width="33" bestFit="1" customWidth="1"/>
  </cols>
  <sheetData>
    <row r="1" spans="1:9" x14ac:dyDescent="0.25">
      <c r="A1" s="5" t="s">
        <v>5</v>
      </c>
    </row>
    <row r="3" spans="1:9" ht="45" x14ac:dyDescent="0.25">
      <c r="A3" s="9" t="s">
        <v>15</v>
      </c>
      <c r="B3" s="9" t="s">
        <v>16</v>
      </c>
      <c r="C3" s="9" t="s">
        <v>448</v>
      </c>
      <c r="D3" s="9" t="s">
        <v>157</v>
      </c>
      <c r="E3" s="9" t="s">
        <v>7</v>
      </c>
      <c r="F3" s="9" t="s">
        <v>138</v>
      </c>
      <c r="G3" s="9" t="s">
        <v>17</v>
      </c>
      <c r="H3" s="9" t="s">
        <v>139</v>
      </c>
      <c r="I3" s="9" t="s">
        <v>140</v>
      </c>
    </row>
    <row r="4" spans="1:9" ht="19.5" customHeight="1" x14ac:dyDescent="0.25">
      <c r="A4" s="42" t="s">
        <v>334</v>
      </c>
      <c r="B4" s="42" t="s">
        <v>20</v>
      </c>
      <c r="C4" s="42" t="s">
        <v>448</v>
      </c>
      <c r="D4" s="42" t="s">
        <v>130</v>
      </c>
      <c r="E4" s="44" t="s">
        <v>335</v>
      </c>
      <c r="F4" s="43">
        <v>0</v>
      </c>
      <c r="G4" s="43">
        <v>4</v>
      </c>
      <c r="H4" s="43">
        <v>67</v>
      </c>
      <c r="I4" s="97" t="s">
        <v>149</v>
      </c>
    </row>
    <row r="5" spans="1:9" ht="24.75" customHeight="1" x14ac:dyDescent="0.25">
      <c r="A5" t="s">
        <v>336</v>
      </c>
      <c r="B5" t="s">
        <v>35</v>
      </c>
      <c r="D5" t="s">
        <v>130</v>
      </c>
      <c r="E5" s="2" t="s">
        <v>536</v>
      </c>
      <c r="F5" s="10" t="s">
        <v>116</v>
      </c>
      <c r="G5" s="10" t="s">
        <v>370</v>
      </c>
      <c r="H5" s="10" t="s">
        <v>371</v>
      </c>
    </row>
    <row r="6" spans="1:9" ht="18" customHeight="1" x14ac:dyDescent="0.25">
      <c r="A6" t="s">
        <v>338</v>
      </c>
      <c r="B6" t="s">
        <v>386</v>
      </c>
      <c r="D6" t="s">
        <v>130</v>
      </c>
      <c r="E6" s="2" t="s">
        <v>362</v>
      </c>
      <c r="F6" s="10">
        <v>0</v>
      </c>
      <c r="G6" s="10">
        <v>12</v>
      </c>
      <c r="H6" s="10">
        <v>10</v>
      </c>
    </row>
    <row r="7" spans="1:9" ht="18" customHeight="1" x14ac:dyDescent="0.25">
      <c r="A7" t="s">
        <v>340</v>
      </c>
      <c r="B7" t="s">
        <v>58</v>
      </c>
      <c r="D7" t="s">
        <v>392</v>
      </c>
      <c r="E7" s="2" t="s">
        <v>262</v>
      </c>
      <c r="F7" s="10" t="s">
        <v>372</v>
      </c>
      <c r="G7" s="10" t="s">
        <v>372</v>
      </c>
      <c r="H7" s="10" t="s">
        <v>373</v>
      </c>
    </row>
    <row r="8" spans="1:9" ht="27" customHeight="1" x14ac:dyDescent="0.25">
      <c r="A8" t="s">
        <v>341</v>
      </c>
      <c r="B8" t="s">
        <v>58</v>
      </c>
      <c r="D8" t="s">
        <v>392</v>
      </c>
      <c r="E8" s="2" t="s">
        <v>263</v>
      </c>
      <c r="F8" s="10" t="s">
        <v>374</v>
      </c>
      <c r="G8" s="10" t="s">
        <v>374</v>
      </c>
      <c r="H8" s="66" t="s">
        <v>375</v>
      </c>
    </row>
    <row r="9" spans="1:9" ht="31.5" customHeight="1" x14ac:dyDescent="0.25">
      <c r="A9" t="s">
        <v>342</v>
      </c>
      <c r="B9" t="s">
        <v>58</v>
      </c>
      <c r="D9" t="s">
        <v>392</v>
      </c>
      <c r="E9" s="2" t="s">
        <v>363</v>
      </c>
      <c r="F9" s="66" t="s">
        <v>387</v>
      </c>
      <c r="G9" s="10" t="s">
        <v>376</v>
      </c>
      <c r="H9" s="10" t="s">
        <v>377</v>
      </c>
    </row>
    <row r="10" spans="1:9" ht="24.75" customHeight="1" x14ac:dyDescent="0.25">
      <c r="A10" t="s">
        <v>551</v>
      </c>
      <c r="B10" t="s">
        <v>500</v>
      </c>
      <c r="D10" t="s">
        <v>392</v>
      </c>
      <c r="E10" s="2" t="s">
        <v>364</v>
      </c>
      <c r="F10" s="10">
        <v>-1</v>
      </c>
      <c r="G10" s="10">
        <v>0</v>
      </c>
      <c r="H10" s="10">
        <v>0</v>
      </c>
      <c r="I10" t="s">
        <v>389</v>
      </c>
    </row>
    <row r="11" spans="1:9" ht="21" customHeight="1" x14ac:dyDescent="0.25">
      <c r="A11" t="s">
        <v>344</v>
      </c>
      <c r="B11" t="s">
        <v>150</v>
      </c>
      <c r="D11" t="s">
        <v>392</v>
      </c>
      <c r="E11" s="2" t="s">
        <v>365</v>
      </c>
      <c r="F11" s="10">
        <v>-1</v>
      </c>
      <c r="G11" s="10">
        <v>32</v>
      </c>
      <c r="H11" s="10">
        <v>230</v>
      </c>
      <c r="I11" s="10" t="s">
        <v>389</v>
      </c>
    </row>
    <row r="12" spans="1:9" ht="17.25" customHeight="1" x14ac:dyDescent="0.25">
      <c r="A12" t="s">
        <v>346</v>
      </c>
      <c r="B12" t="s">
        <v>150</v>
      </c>
      <c r="D12" t="s">
        <v>130</v>
      </c>
      <c r="E12" s="2" t="s">
        <v>366</v>
      </c>
      <c r="F12" s="10">
        <v>-1</v>
      </c>
      <c r="G12" s="10">
        <v>47.84</v>
      </c>
      <c r="H12" s="10">
        <v>343.85</v>
      </c>
    </row>
    <row r="13" spans="1:9" ht="27" customHeight="1" x14ac:dyDescent="0.25">
      <c r="A13" t="s">
        <v>345</v>
      </c>
      <c r="B13" t="s">
        <v>385</v>
      </c>
      <c r="D13" t="s">
        <v>130</v>
      </c>
      <c r="E13" s="2" t="s">
        <v>367</v>
      </c>
      <c r="F13" s="10" t="s">
        <v>552</v>
      </c>
      <c r="G13" s="10" t="s">
        <v>381</v>
      </c>
      <c r="H13" s="10" t="s">
        <v>382</v>
      </c>
    </row>
    <row r="14" spans="1:9" ht="45" x14ac:dyDescent="0.25">
      <c r="A14" t="s">
        <v>339</v>
      </c>
      <c r="B14" t="s">
        <v>537</v>
      </c>
      <c r="E14" s="2" t="s">
        <v>368</v>
      </c>
      <c r="F14" s="10" t="s">
        <v>388</v>
      </c>
      <c r="G14" s="10" t="s">
        <v>383</v>
      </c>
      <c r="H14" s="10" t="s">
        <v>384</v>
      </c>
    </row>
    <row r="15" spans="1:9" x14ac:dyDescent="0.25">
      <c r="A15" t="s">
        <v>19</v>
      </c>
      <c r="B15" s="30" t="s">
        <v>20</v>
      </c>
      <c r="C15" s="30"/>
      <c r="D15" t="s">
        <v>130</v>
      </c>
      <c r="E15" s="32" t="s">
        <v>141</v>
      </c>
      <c r="F15" s="31">
        <v>0</v>
      </c>
      <c r="G15" s="10">
        <v>1</v>
      </c>
      <c r="H15" s="10">
        <v>1</v>
      </c>
      <c r="I15" s="31" t="s">
        <v>142</v>
      </c>
    </row>
  </sheetData>
  <hyperlinks>
    <hyperlink ref="A1" location="Index!A1" display="Index" xr:uid="{E4A7B2F0-BAF3-470B-9177-D82C50C62E7D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94AC-06EA-4814-A617-F57784FC4DE2}">
  <sheetPr>
    <tabColor rgb="FF92D050"/>
  </sheetPr>
  <dimension ref="A1:H18"/>
  <sheetViews>
    <sheetView showOutlineSymbols="0" zoomScale="84" zoomScaleNormal="115" workbookViewId="0"/>
  </sheetViews>
  <sheetFormatPr defaultColWidth="21.28515625" defaultRowHeight="15" x14ac:dyDescent="0.25"/>
  <cols>
    <col min="1" max="1" width="30.140625" bestFit="1" customWidth="1"/>
    <col min="2" max="2" width="15.5703125" customWidth="1"/>
    <col min="3" max="3" width="7.5703125" customWidth="1"/>
    <col min="4" max="4" width="39.85546875" style="2" customWidth="1"/>
    <col min="5" max="5" width="21.7109375" style="10" bestFit="1" customWidth="1"/>
    <col min="6" max="6" width="24.28515625" bestFit="1" customWidth="1"/>
    <col min="7" max="7" width="21.140625" bestFit="1" customWidth="1"/>
    <col min="8" max="8" width="30.7109375" bestFit="1" customWidth="1"/>
  </cols>
  <sheetData>
    <row r="1" spans="1:8" x14ac:dyDescent="0.25">
      <c r="A1" s="5" t="s">
        <v>5</v>
      </c>
    </row>
    <row r="3" spans="1:8" ht="45" x14ac:dyDescent="0.25">
      <c r="A3" s="9" t="s">
        <v>15</v>
      </c>
      <c r="B3" s="9" t="s">
        <v>16</v>
      </c>
      <c r="C3" s="9" t="s">
        <v>157</v>
      </c>
      <c r="D3" s="9" t="s">
        <v>7</v>
      </c>
      <c r="E3" s="9" t="s">
        <v>138</v>
      </c>
      <c r="F3" s="9" t="s">
        <v>17</v>
      </c>
      <c r="G3" s="9" t="s">
        <v>139</v>
      </c>
      <c r="H3" s="9" t="s">
        <v>140</v>
      </c>
    </row>
    <row r="4" spans="1:8" x14ac:dyDescent="0.25">
      <c r="A4" s="42" t="s">
        <v>398</v>
      </c>
      <c r="B4" s="42" t="s">
        <v>20</v>
      </c>
      <c r="C4" s="42" t="s">
        <v>130</v>
      </c>
      <c r="D4" s="44" t="s">
        <v>317</v>
      </c>
      <c r="E4" s="43"/>
      <c r="F4" s="43">
        <v>79235</v>
      </c>
      <c r="G4" s="43">
        <v>79236</v>
      </c>
      <c r="H4" s="97" t="s">
        <v>149</v>
      </c>
    </row>
    <row r="5" spans="1:8" x14ac:dyDescent="0.25">
      <c r="A5" t="s">
        <v>399</v>
      </c>
      <c r="B5" t="s">
        <v>35</v>
      </c>
      <c r="C5" t="s">
        <v>130</v>
      </c>
      <c r="D5" s="2" t="s">
        <v>318</v>
      </c>
      <c r="F5" s="10">
        <v>249833</v>
      </c>
      <c r="G5" s="10">
        <v>249834</v>
      </c>
      <c r="H5" s="33" t="s">
        <v>149</v>
      </c>
    </row>
    <row r="6" spans="1:8" x14ac:dyDescent="0.25">
      <c r="A6" t="s">
        <v>400</v>
      </c>
      <c r="B6" t="s">
        <v>35</v>
      </c>
      <c r="C6" t="s">
        <v>130</v>
      </c>
      <c r="D6" s="2" t="s">
        <v>319</v>
      </c>
      <c r="E6" s="66">
        <v>1</v>
      </c>
      <c r="F6" s="66">
        <v>45292</v>
      </c>
      <c r="G6" s="66">
        <v>45292</v>
      </c>
    </row>
    <row r="7" spans="1:8" x14ac:dyDescent="0.25">
      <c r="A7" t="s">
        <v>238</v>
      </c>
      <c r="B7" t="s">
        <v>20</v>
      </c>
      <c r="C7" t="s">
        <v>130</v>
      </c>
      <c r="D7" s="2" t="s">
        <v>391</v>
      </c>
      <c r="E7" s="10">
        <v>0</v>
      </c>
      <c r="F7" s="10">
        <v>152</v>
      </c>
      <c r="G7" s="10">
        <v>1129</v>
      </c>
    </row>
    <row r="8" spans="1:8" x14ac:dyDescent="0.25">
      <c r="A8" t="s">
        <v>347</v>
      </c>
      <c r="B8" t="s">
        <v>20</v>
      </c>
      <c r="C8" t="s">
        <v>130</v>
      </c>
      <c r="D8" s="2" t="s">
        <v>320</v>
      </c>
      <c r="E8" s="10">
        <v>0</v>
      </c>
      <c r="F8" s="10">
        <v>8</v>
      </c>
      <c r="G8" s="10">
        <v>2</v>
      </c>
    </row>
    <row r="9" spans="1:8" x14ac:dyDescent="0.25">
      <c r="A9" t="s">
        <v>348</v>
      </c>
      <c r="B9" t="s">
        <v>20</v>
      </c>
      <c r="C9" t="s">
        <v>130</v>
      </c>
      <c r="D9" s="2" t="s">
        <v>321</v>
      </c>
      <c r="E9" s="10">
        <v>0</v>
      </c>
      <c r="F9" s="10">
        <v>78</v>
      </c>
      <c r="G9" s="82">
        <v>95</v>
      </c>
    </row>
    <row r="10" spans="1:8" x14ac:dyDescent="0.25">
      <c r="A10" t="s">
        <v>349</v>
      </c>
      <c r="B10" t="s">
        <v>58</v>
      </c>
      <c r="C10" t="s">
        <v>130</v>
      </c>
      <c r="D10" s="2" t="s">
        <v>322</v>
      </c>
      <c r="E10" s="10">
        <v>0</v>
      </c>
      <c r="F10" s="10">
        <v>7</v>
      </c>
      <c r="G10" s="10">
        <v>7</v>
      </c>
    </row>
    <row r="11" spans="1:8" x14ac:dyDescent="0.25">
      <c r="A11" t="s">
        <v>350</v>
      </c>
      <c r="B11" t="s">
        <v>20</v>
      </c>
      <c r="C11" t="s">
        <v>130</v>
      </c>
      <c r="D11" s="2" t="s">
        <v>323</v>
      </c>
      <c r="E11" s="10" t="s">
        <v>116</v>
      </c>
      <c r="F11" s="10" t="s">
        <v>330</v>
      </c>
      <c r="G11" s="10" t="s">
        <v>331</v>
      </c>
    </row>
    <row r="12" spans="1:8" x14ac:dyDescent="0.25">
      <c r="A12" t="s">
        <v>351</v>
      </c>
      <c r="B12" t="s">
        <v>150</v>
      </c>
      <c r="C12" t="s">
        <v>390</v>
      </c>
      <c r="D12" s="2" t="s">
        <v>324</v>
      </c>
      <c r="F12" s="10">
        <v>84</v>
      </c>
      <c r="G12" s="10">
        <v>36</v>
      </c>
    </row>
    <row r="13" spans="1:8" x14ac:dyDescent="0.25">
      <c r="A13" t="s">
        <v>352</v>
      </c>
      <c r="B13" t="s">
        <v>150</v>
      </c>
      <c r="C13" t="s">
        <v>390</v>
      </c>
      <c r="D13" s="2" t="s">
        <v>326</v>
      </c>
      <c r="F13" s="10">
        <v>18</v>
      </c>
      <c r="G13" s="10">
        <v>18</v>
      </c>
    </row>
    <row r="14" spans="1:8" x14ac:dyDescent="0.25">
      <c r="A14" t="s">
        <v>354</v>
      </c>
      <c r="B14" t="s">
        <v>150</v>
      </c>
      <c r="C14" t="s">
        <v>390</v>
      </c>
      <c r="D14" s="2" t="s">
        <v>325</v>
      </c>
      <c r="F14" s="10">
        <v>15</v>
      </c>
      <c r="G14" s="10">
        <v>15</v>
      </c>
    </row>
    <row r="15" spans="1:8" x14ac:dyDescent="0.25">
      <c r="A15" t="s">
        <v>353</v>
      </c>
      <c r="B15" t="s">
        <v>150</v>
      </c>
      <c r="C15" t="s">
        <v>390</v>
      </c>
      <c r="D15" s="2" t="s">
        <v>327</v>
      </c>
      <c r="F15" s="10" t="s">
        <v>332</v>
      </c>
      <c r="G15" s="10" t="s">
        <v>333</v>
      </c>
    </row>
    <row r="16" spans="1:8" ht="30" x14ac:dyDescent="0.25">
      <c r="A16" t="s">
        <v>355</v>
      </c>
      <c r="B16" t="s">
        <v>150</v>
      </c>
      <c r="C16" t="s">
        <v>390</v>
      </c>
      <c r="D16" s="2" t="s">
        <v>328</v>
      </c>
      <c r="F16" s="10">
        <v>924</v>
      </c>
      <c r="G16" s="10">
        <v>378</v>
      </c>
    </row>
    <row r="17" spans="1:8" ht="30" x14ac:dyDescent="0.25">
      <c r="A17" t="s">
        <v>356</v>
      </c>
      <c r="B17" t="s">
        <v>150</v>
      </c>
      <c r="C17" t="s">
        <v>390</v>
      </c>
      <c r="D17" s="2" t="s">
        <v>329</v>
      </c>
      <c r="F17" s="10">
        <v>1738.8</v>
      </c>
      <c r="G17" s="10">
        <v>745.2</v>
      </c>
    </row>
    <row r="18" spans="1:8" x14ac:dyDescent="0.25">
      <c r="A18" t="s">
        <v>19</v>
      </c>
      <c r="B18" s="30" t="s">
        <v>20</v>
      </c>
      <c r="C18" t="s">
        <v>130</v>
      </c>
      <c r="D18" s="32" t="s">
        <v>141</v>
      </c>
      <c r="E18" s="31"/>
      <c r="F18" s="10">
        <v>1</v>
      </c>
      <c r="G18" s="10">
        <v>1</v>
      </c>
      <c r="H18" s="31" t="s">
        <v>142</v>
      </c>
    </row>
  </sheetData>
  <hyperlinks>
    <hyperlink ref="A1" location="Index!A1" display="Index" xr:uid="{69056729-3A90-4A8A-8084-4CDD5546728E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showOutlineSymbols="0" zoomScale="89" zoomScaleNormal="130" workbookViewId="0">
      <selection activeCell="B24" sqref="B24"/>
    </sheetView>
  </sheetViews>
  <sheetFormatPr defaultRowHeight="15" x14ac:dyDescent="0.25"/>
  <cols>
    <col min="1" max="1" width="31.42578125" customWidth="1"/>
    <col min="2" max="2" width="69.140625" bestFit="1" customWidth="1"/>
    <col min="3" max="3" width="30.7109375" customWidth="1"/>
    <col min="4" max="4" width="14.28515625" bestFit="1" customWidth="1"/>
    <col min="5" max="5" width="23" bestFit="1" customWidth="1"/>
    <col min="6" max="6" width="20.28515625" bestFit="1" customWidth="1"/>
  </cols>
  <sheetData>
    <row r="1" spans="1:6" x14ac:dyDescent="0.25">
      <c r="A1" s="5" t="s">
        <v>5</v>
      </c>
    </row>
    <row r="2" spans="1:6" x14ac:dyDescent="0.25">
      <c r="A2" t="s">
        <v>167</v>
      </c>
    </row>
    <row r="3" spans="1:6" x14ac:dyDescent="0.25">
      <c r="A3" t="s">
        <v>168</v>
      </c>
    </row>
    <row r="4" spans="1:6" x14ac:dyDescent="0.25">
      <c r="A4" t="s">
        <v>169</v>
      </c>
    </row>
    <row r="5" spans="1:6" x14ac:dyDescent="0.25">
      <c r="A5" t="s">
        <v>252</v>
      </c>
    </row>
    <row r="8" spans="1:6" x14ac:dyDescent="0.25">
      <c r="A8" s="100" t="s">
        <v>14</v>
      </c>
      <c r="B8" s="100"/>
      <c r="C8" s="100"/>
      <c r="D8" s="100"/>
      <c r="E8" s="100"/>
      <c r="F8" s="100"/>
    </row>
    <row r="9" spans="1:6" x14ac:dyDescent="0.25">
      <c r="A9" s="11" t="s">
        <v>21</v>
      </c>
      <c r="B9" s="11" t="s">
        <v>7</v>
      </c>
      <c r="C9" s="11" t="s">
        <v>2</v>
      </c>
      <c r="D9" s="11" t="s">
        <v>22</v>
      </c>
      <c r="E9" s="6" t="s">
        <v>6</v>
      </c>
      <c r="F9" s="11" t="s">
        <v>23</v>
      </c>
    </row>
    <row r="10" spans="1:6" x14ac:dyDescent="0.25">
      <c r="A10" s="63" t="s">
        <v>526</v>
      </c>
      <c r="B10" t="s">
        <v>570</v>
      </c>
      <c r="C10" t="s">
        <v>581</v>
      </c>
      <c r="D10" t="s">
        <v>563</v>
      </c>
      <c r="E10" s="63"/>
      <c r="F10" t="s">
        <v>547</v>
      </c>
    </row>
    <row r="11" spans="1:6" x14ac:dyDescent="0.25">
      <c r="A11" s="63" t="s">
        <v>541</v>
      </c>
      <c r="B11" t="s">
        <v>571</v>
      </c>
      <c r="C11" t="s">
        <v>580</v>
      </c>
      <c r="D11" t="s">
        <v>582</v>
      </c>
      <c r="E11" s="63" t="s">
        <v>591</v>
      </c>
      <c r="F11" t="s">
        <v>541</v>
      </c>
    </row>
    <row r="12" spans="1:6" x14ac:dyDescent="0.25">
      <c r="A12" s="63" t="s">
        <v>542</v>
      </c>
      <c r="B12" t="s">
        <v>573</v>
      </c>
      <c r="C12" t="s">
        <v>580</v>
      </c>
      <c r="D12" t="s">
        <v>582</v>
      </c>
      <c r="E12" s="63" t="s">
        <v>592</v>
      </c>
      <c r="F12" t="s">
        <v>542</v>
      </c>
    </row>
    <row r="13" spans="1:6" x14ac:dyDescent="0.25">
      <c r="A13" s="63" t="s">
        <v>543</v>
      </c>
      <c r="B13" t="s">
        <v>572</v>
      </c>
      <c r="C13" t="s">
        <v>580</v>
      </c>
      <c r="D13" t="s">
        <v>582</v>
      </c>
      <c r="E13" s="63" t="s">
        <v>593</v>
      </c>
      <c r="F13" t="s">
        <v>543</v>
      </c>
    </row>
    <row r="14" spans="1:6" x14ac:dyDescent="0.25">
      <c r="A14" s="63" t="s">
        <v>546</v>
      </c>
      <c r="B14" t="s">
        <v>574</v>
      </c>
      <c r="C14" t="s">
        <v>580</v>
      </c>
      <c r="D14" t="s">
        <v>582</v>
      </c>
      <c r="E14" s="63" t="s">
        <v>594</v>
      </c>
      <c r="F14" t="s">
        <v>546</v>
      </c>
    </row>
    <row r="15" spans="1:6" x14ac:dyDescent="0.25">
      <c r="A15" s="83"/>
      <c r="B15" s="2"/>
      <c r="E15" s="63"/>
    </row>
    <row r="17" spans="1:6" ht="15.75" thickBot="1" x14ac:dyDescent="0.3">
      <c r="A17" s="100" t="s">
        <v>173</v>
      </c>
      <c r="B17" s="100"/>
      <c r="C17" s="100"/>
      <c r="D17" s="100"/>
      <c r="E17" s="100"/>
      <c r="F17" s="100"/>
    </row>
    <row r="18" spans="1:6" ht="15.75" thickTop="1" x14ac:dyDescent="0.25">
      <c r="A18" s="11" t="s">
        <v>21</v>
      </c>
      <c r="B18" s="11" t="s">
        <v>7</v>
      </c>
      <c r="C18" s="101" t="s">
        <v>163</v>
      </c>
      <c r="D18" s="101"/>
      <c r="E18" s="101"/>
      <c r="F18" s="11"/>
    </row>
    <row r="19" spans="1:6" x14ac:dyDescent="0.25">
      <c r="A19" t="s">
        <v>576</v>
      </c>
      <c r="B19" t="s">
        <v>579</v>
      </c>
      <c r="C19" s="63" t="s">
        <v>546</v>
      </c>
    </row>
    <row r="20" spans="1:6" x14ac:dyDescent="0.25">
      <c r="A20" t="s">
        <v>577</v>
      </c>
      <c r="B20" t="s">
        <v>578</v>
      </c>
      <c r="C20" s="63" t="s">
        <v>541</v>
      </c>
    </row>
    <row r="21" spans="1:6" x14ac:dyDescent="0.25">
      <c r="A21" t="s">
        <v>548</v>
      </c>
      <c r="B21" t="s">
        <v>549</v>
      </c>
      <c r="C21" s="63" t="s">
        <v>543</v>
      </c>
    </row>
    <row r="22" spans="1:6" x14ac:dyDescent="0.25">
      <c r="A22" t="s">
        <v>490</v>
      </c>
      <c r="B22" t="s">
        <v>491</v>
      </c>
      <c r="C22" s="63" t="s">
        <v>542</v>
      </c>
    </row>
    <row r="23" spans="1:6" x14ac:dyDescent="0.25">
      <c r="B23" s="2"/>
      <c r="C23" s="1"/>
    </row>
    <row r="25" spans="1:6" ht="15.75" thickBot="1" x14ac:dyDescent="0.3">
      <c r="A25" s="102" t="s">
        <v>24</v>
      </c>
      <c r="B25" s="102"/>
      <c r="C25" s="102"/>
      <c r="D25" s="102"/>
      <c r="E25" s="102"/>
      <c r="F25" s="102"/>
    </row>
    <row r="26" spans="1:6" ht="15.75" thickTop="1" x14ac:dyDescent="0.25">
      <c r="A26" s="8" t="s">
        <v>21</v>
      </c>
      <c r="B26" s="8" t="s">
        <v>7</v>
      </c>
      <c r="C26" s="101" t="s">
        <v>172</v>
      </c>
      <c r="D26" s="101"/>
      <c r="E26" s="101"/>
      <c r="F26" s="8" t="s">
        <v>23</v>
      </c>
    </row>
    <row r="27" spans="1:6" x14ac:dyDescent="0.25">
      <c r="A27" s="1" t="s">
        <v>25</v>
      </c>
      <c r="B27" t="s">
        <v>33</v>
      </c>
      <c r="C27" t="s">
        <v>178</v>
      </c>
      <c r="F27" t="s">
        <v>26</v>
      </c>
    </row>
    <row r="28" spans="1:6" ht="30" x14ac:dyDescent="0.25">
      <c r="A28" s="1" t="s">
        <v>27</v>
      </c>
      <c r="B28" t="s">
        <v>28</v>
      </c>
      <c r="C28" s="2" t="s">
        <v>179</v>
      </c>
      <c r="F28" t="s">
        <v>29</v>
      </c>
    </row>
    <row r="29" spans="1:6" ht="45" x14ac:dyDescent="0.25">
      <c r="A29" s="1" t="s">
        <v>30</v>
      </c>
      <c r="B29" t="s">
        <v>31</v>
      </c>
      <c r="C29" s="2" t="s">
        <v>180</v>
      </c>
      <c r="F29" t="s">
        <v>32</v>
      </c>
    </row>
    <row r="31" spans="1:6" ht="15.75" thickBot="1" x14ac:dyDescent="0.3">
      <c r="A31" s="102" t="s">
        <v>161</v>
      </c>
      <c r="B31" s="102"/>
      <c r="C31" s="102"/>
      <c r="D31" s="102"/>
      <c r="E31" s="102"/>
      <c r="F31" s="102"/>
    </row>
    <row r="32" spans="1:6" ht="15.75" thickTop="1" x14ac:dyDescent="0.25">
      <c r="A32" s="8" t="s">
        <v>21</v>
      </c>
      <c r="B32" s="8" t="s">
        <v>7</v>
      </c>
      <c r="C32" s="101" t="s">
        <v>163</v>
      </c>
      <c r="D32" s="101"/>
      <c r="E32" s="101"/>
      <c r="F32" s="8"/>
    </row>
    <row r="33" spans="1:3" x14ac:dyDescent="0.25">
      <c r="A33" s="1" t="s">
        <v>159</v>
      </c>
      <c r="B33" t="s">
        <v>162</v>
      </c>
      <c r="C33" t="s">
        <v>25</v>
      </c>
    </row>
  </sheetData>
  <mergeCells count="7">
    <mergeCell ref="A31:F31"/>
    <mergeCell ref="C32:E32"/>
    <mergeCell ref="A17:F17"/>
    <mergeCell ref="C18:E18"/>
    <mergeCell ref="A8:F8"/>
    <mergeCell ref="A25:F25"/>
    <mergeCell ref="C26:E26"/>
  </mergeCells>
  <phoneticPr fontId="23" type="noConversion"/>
  <hyperlinks>
    <hyperlink ref="A1" location="Index!A1" display="Index" xr:uid="{00000000-0004-0000-0700-000000000000}"/>
    <hyperlink ref="A27" location="'Process Metadata'!A5" display="Import_Batch" xr:uid="{00000000-0004-0000-0700-000001000000}"/>
    <hyperlink ref="A28" location="'Process Metadata'!A16" display="Import_Batch_Process" xr:uid="{00000000-0004-0000-0700-000002000000}"/>
    <hyperlink ref="A29" location="'Process Metadata'!A25" display="Import_Batch_Process_Task" xr:uid="{00000000-0004-0000-0700-000003000000}"/>
    <hyperlink ref="A33" location="'Process Metadata'!J5" display="V_IB_Latest" xr:uid="{00000000-0004-0000-0700-000004000000}"/>
    <hyperlink ref="A10" location="S2_Customer_Category_Lookup!A1" display="S2_Customer_Category_Lookup" xr:uid="{52DE1325-4C28-4CEF-97B5-5A4749B54B8A}"/>
    <hyperlink ref="A11" location="S2_Customer!A1" display="S2_Customer" xr:uid="{63E9A7CC-4338-401A-9C4C-F62205AA92DF}"/>
    <hyperlink ref="A12" location="S2_Stock_Items!A1" display="S2_Stock_Items" xr:uid="{5C157B3A-26C1-4582-8F11-AB3688ADBCC0}"/>
    <hyperlink ref="A13" location="S2_Employee!A1" display="S2_Employee" xr:uid="{3BEEC896-A554-4A11-B86C-7E1266FDC6F4}"/>
    <hyperlink ref="A14" location="S2_Invoice_Lines!A1" display="S2_Invoice_Lines" xr:uid="{E2C348F7-FB7C-48A7-8D5B-F8822E9F0099}"/>
    <hyperlink ref="E13" location="Stage1!A18" display="S1_V_Employee" xr:uid="{5B0F0A9A-29FE-4A81-A886-2E81E49BDF3B}"/>
    <hyperlink ref="E14" location="S1_Invoice_Lines!A17" display="S1_V_Invoice_Line" xr:uid="{1B7610C0-71C7-4EFE-A9EA-F87FA6C4A6A1}"/>
    <hyperlink ref="C19" location="S2_Invoice_Lines!A1" display="S2_Invoice_Lines" xr:uid="{A9F6DA70-B670-46EE-84AF-8EFB8D9E4927}"/>
    <hyperlink ref="C20" location="S2_Customer!A1" display="S2_Customer" xr:uid="{591599A5-500E-4362-BB35-75B3C0675B34}"/>
    <hyperlink ref="E11" location="Stage1!A16" display="S1_V_Customer_Dim" xr:uid="{58281433-4EC6-41C0-A136-496D7F6EDE3C}"/>
    <hyperlink ref="E12" location="Stage1!A19" display="S1_V_Stock Items" xr:uid="{9883DBB8-5BED-47C5-901F-9CCA178540B7}"/>
    <hyperlink ref="C21" location="S2_Employee!A1" display="S2_Employee" xr:uid="{485BE39A-CAB0-48AC-B39E-677628DDE39B}"/>
    <hyperlink ref="C22" location="S2_Stock_Items!A1" display="S2_Stock_Items" xr:uid="{6D0F01B4-5C9F-491E-AA56-DB2A61AB578F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A762-2027-4F77-B7D3-11CC0736E978}">
  <sheetPr>
    <tabColor rgb="FF92D050"/>
  </sheetPr>
  <dimension ref="A1:I10"/>
  <sheetViews>
    <sheetView showOutlineSymbols="0" zoomScale="112" zoomScaleNormal="112" workbookViewId="0"/>
  </sheetViews>
  <sheetFormatPr defaultColWidth="21.28515625" defaultRowHeight="15" x14ac:dyDescent="0.25"/>
  <cols>
    <col min="1" max="1" width="29.42578125" customWidth="1"/>
    <col min="2" max="3" width="15.5703125" customWidth="1"/>
    <col min="4" max="4" width="39.7109375" style="2" customWidth="1"/>
    <col min="5" max="5" width="3.140625" style="2" bestFit="1" customWidth="1"/>
    <col min="6" max="6" width="29.42578125" style="2" bestFit="1" customWidth="1"/>
    <col min="7" max="7" width="25" bestFit="1" customWidth="1"/>
    <col min="8" max="8" width="21.140625" bestFit="1" customWidth="1"/>
    <col min="9" max="9" width="33.7109375" bestFit="1" customWidth="1"/>
  </cols>
  <sheetData>
    <row r="1" spans="1:9" x14ac:dyDescent="0.25">
      <c r="A1" s="5" t="s">
        <v>5</v>
      </c>
      <c r="B1" t="s">
        <v>531</v>
      </c>
    </row>
    <row r="3" spans="1:9" ht="30" x14ac:dyDescent="0.25">
      <c r="A3" s="9" t="s">
        <v>15</v>
      </c>
      <c r="B3" s="9" t="s">
        <v>16</v>
      </c>
      <c r="C3" s="9" t="s">
        <v>532</v>
      </c>
      <c r="D3" s="9" t="s">
        <v>7</v>
      </c>
      <c r="E3" s="9" t="s">
        <v>52</v>
      </c>
      <c r="F3" s="9" t="s">
        <v>45</v>
      </c>
      <c r="G3" s="9" t="s">
        <v>17</v>
      </c>
      <c r="H3" s="9" t="s">
        <v>139</v>
      </c>
      <c r="I3" s="9" t="s">
        <v>140</v>
      </c>
    </row>
    <row r="4" spans="1:9" ht="30" x14ac:dyDescent="0.25">
      <c r="A4" s="42" t="s">
        <v>267</v>
      </c>
      <c r="B4" s="42" t="s">
        <v>20</v>
      </c>
      <c r="C4" s="42" t="s">
        <v>533</v>
      </c>
      <c r="D4" s="44" t="s">
        <v>529</v>
      </c>
      <c r="E4" s="44" t="s">
        <v>448</v>
      </c>
      <c r="F4" s="44"/>
      <c r="G4" s="43">
        <v>-1</v>
      </c>
      <c r="H4" s="43">
        <v>3</v>
      </c>
      <c r="I4" s="10"/>
    </row>
    <row r="5" spans="1:9" x14ac:dyDescent="0.25">
      <c r="A5" t="s">
        <v>504</v>
      </c>
      <c r="B5" t="s">
        <v>35</v>
      </c>
      <c r="C5" t="s">
        <v>533</v>
      </c>
      <c r="D5" s="2" t="s">
        <v>528</v>
      </c>
      <c r="G5" s="10" t="s">
        <v>116</v>
      </c>
      <c r="H5" s="10" t="s">
        <v>530</v>
      </c>
    </row>
    <row r="6" spans="1:9" x14ac:dyDescent="0.25">
      <c r="G6" s="10"/>
      <c r="H6" s="10"/>
    </row>
    <row r="7" spans="1:9" x14ac:dyDescent="0.25">
      <c r="G7" s="10"/>
      <c r="H7" s="10"/>
      <c r="I7" s="2"/>
    </row>
    <row r="8" spans="1:9" x14ac:dyDescent="0.25">
      <c r="G8" s="10"/>
      <c r="H8" s="10"/>
      <c r="I8" s="2"/>
    </row>
    <row r="9" spans="1:9" x14ac:dyDescent="0.25">
      <c r="G9" s="66"/>
      <c r="H9" s="66"/>
      <c r="I9" s="2"/>
    </row>
    <row r="10" spans="1:9" x14ac:dyDescent="0.25">
      <c r="B10" s="30"/>
      <c r="C10" s="30"/>
      <c r="D10" s="32"/>
      <c r="E10" s="32"/>
      <c r="F10" s="32"/>
      <c r="G10" s="10"/>
      <c r="H10" s="10"/>
      <c r="I10" s="31"/>
    </row>
  </sheetData>
  <hyperlinks>
    <hyperlink ref="A1" location="Index!A1" display="Index" xr:uid="{791F121C-B5DE-40B5-83CE-8F04C84F448D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BA91-01FF-4764-8DE8-A0E672F5FA71}">
  <sheetPr>
    <tabColor rgb="FF92D050"/>
  </sheetPr>
  <dimension ref="A1:H10"/>
  <sheetViews>
    <sheetView showOutlineSymbols="0" zoomScale="112" zoomScaleNormal="112" workbookViewId="0"/>
  </sheetViews>
  <sheetFormatPr defaultColWidth="21.28515625" defaultRowHeight="15" x14ac:dyDescent="0.25"/>
  <cols>
    <col min="1" max="1" width="29.42578125" customWidth="1"/>
    <col min="2" max="2" width="15.5703125" customWidth="1"/>
    <col min="3" max="3" width="39.7109375" style="2" customWidth="1"/>
    <col min="4" max="4" width="3.140625" style="2" bestFit="1" customWidth="1"/>
    <col min="5" max="5" width="29.42578125" style="2" bestFit="1" customWidth="1"/>
    <col min="6" max="6" width="25" bestFit="1" customWidth="1"/>
    <col min="7" max="7" width="21.140625" bestFit="1" customWidth="1"/>
    <col min="8" max="8" width="33.7109375" bestFit="1" customWidth="1"/>
  </cols>
  <sheetData>
    <row r="1" spans="1:8" x14ac:dyDescent="0.25">
      <c r="A1" s="5" t="s">
        <v>5</v>
      </c>
    </row>
    <row r="3" spans="1:8" ht="14.25" customHeight="1" x14ac:dyDescent="0.25">
      <c r="A3" s="9" t="s">
        <v>15</v>
      </c>
      <c r="B3" s="9" t="s">
        <v>16</v>
      </c>
      <c r="C3" s="9" t="s">
        <v>7</v>
      </c>
      <c r="D3" s="9" t="s">
        <v>92</v>
      </c>
      <c r="E3" s="9" t="s">
        <v>92</v>
      </c>
      <c r="F3" s="9" t="s">
        <v>17</v>
      </c>
      <c r="G3" s="9" t="s">
        <v>139</v>
      </c>
      <c r="H3" s="9" t="s">
        <v>140</v>
      </c>
    </row>
    <row r="4" spans="1:8" s="42" customFormat="1" x14ac:dyDescent="0.25">
      <c r="A4" s="42" t="s">
        <v>238</v>
      </c>
      <c r="B4" s="42" t="s">
        <v>20</v>
      </c>
      <c r="C4" s="44" t="s">
        <v>277</v>
      </c>
      <c r="D4" s="44" t="s">
        <v>448</v>
      </c>
      <c r="E4" s="44"/>
      <c r="F4" s="43">
        <v>1</v>
      </c>
      <c r="G4" s="43">
        <v>869</v>
      </c>
      <c r="H4" s="43"/>
    </row>
    <row r="5" spans="1:8" x14ac:dyDescent="0.25">
      <c r="A5" t="s">
        <v>239</v>
      </c>
      <c r="B5" t="s">
        <v>35</v>
      </c>
      <c r="C5" s="2" t="s">
        <v>524</v>
      </c>
      <c r="F5" s="10" t="s">
        <v>264</v>
      </c>
      <c r="G5" s="10" t="s">
        <v>266</v>
      </c>
    </row>
    <row r="6" spans="1:8" ht="30" x14ac:dyDescent="0.25">
      <c r="A6" t="s">
        <v>267</v>
      </c>
      <c r="B6" t="s">
        <v>20</v>
      </c>
      <c r="C6" s="2" t="s">
        <v>259</v>
      </c>
      <c r="E6" s="96" t="s">
        <v>526</v>
      </c>
      <c r="F6" s="10">
        <v>3</v>
      </c>
      <c r="G6" s="10">
        <v>3</v>
      </c>
    </row>
    <row r="7" spans="1:8" x14ac:dyDescent="0.25">
      <c r="A7" t="s">
        <v>553</v>
      </c>
      <c r="B7" t="s">
        <v>35</v>
      </c>
      <c r="C7" s="2" t="s">
        <v>525</v>
      </c>
      <c r="F7" s="10" t="s">
        <v>265</v>
      </c>
      <c r="G7" s="10" t="s">
        <v>272</v>
      </c>
      <c r="H7" s="2"/>
    </row>
    <row r="8" spans="1:8" x14ac:dyDescent="0.25">
      <c r="A8" t="s">
        <v>269</v>
      </c>
      <c r="B8" t="s">
        <v>150</v>
      </c>
      <c r="C8" s="2" t="s">
        <v>527</v>
      </c>
      <c r="F8" s="10">
        <v>-1</v>
      </c>
      <c r="G8" s="10">
        <v>3858.75</v>
      </c>
      <c r="H8" s="2"/>
    </row>
    <row r="9" spans="1:8" x14ac:dyDescent="0.25">
      <c r="A9" t="s">
        <v>273</v>
      </c>
      <c r="B9" t="s">
        <v>54</v>
      </c>
      <c r="C9" s="2" t="s">
        <v>263</v>
      </c>
      <c r="F9" s="66">
        <v>41275</v>
      </c>
      <c r="G9" s="66">
        <v>41275</v>
      </c>
      <c r="H9" s="2"/>
    </row>
    <row r="10" spans="1:8" x14ac:dyDescent="0.25">
      <c r="A10" t="s">
        <v>19</v>
      </c>
      <c r="B10" s="30" t="s">
        <v>20</v>
      </c>
      <c r="C10" s="32" t="s">
        <v>141</v>
      </c>
      <c r="D10" s="32"/>
      <c r="E10" s="96" t="s">
        <v>534</v>
      </c>
      <c r="F10" s="10">
        <v>1</v>
      </c>
      <c r="G10" s="10">
        <v>1</v>
      </c>
      <c r="H10" s="31" t="s">
        <v>142</v>
      </c>
    </row>
  </sheetData>
  <hyperlinks>
    <hyperlink ref="A1" location="Index!A1" display="Index" xr:uid="{755E56E4-9D71-4D06-969B-04087EDABB90}"/>
    <hyperlink ref="E6" location="S2_Customer_Category_Lookup!A1" display="S2_Customer_Category_Lookup" xr:uid="{F9AE3013-BC89-417D-BDD3-98DA5A379077}"/>
    <hyperlink ref="E10" location="'Process Metadata'!A1" display="Import Batch Process Task" xr:uid="{7DEBE273-A4A9-4A62-B839-B74C40B2CCC6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6847-E310-4DB6-AA57-69B70778AD9E}">
  <sheetPr>
    <tabColor rgb="FF92D050"/>
  </sheetPr>
  <dimension ref="A1:J15"/>
  <sheetViews>
    <sheetView showOutlineSymbols="0" topLeftCell="B1" zoomScale="89" zoomScaleNormal="89" workbookViewId="0">
      <selection activeCell="G13" sqref="G13"/>
    </sheetView>
  </sheetViews>
  <sheetFormatPr defaultColWidth="21.28515625" defaultRowHeight="15" x14ac:dyDescent="0.25"/>
  <cols>
    <col min="1" max="1" width="35.7109375" bestFit="1" customWidth="1"/>
    <col min="2" max="2" width="15.5703125" customWidth="1"/>
    <col min="3" max="3" width="5.85546875" customWidth="1"/>
    <col min="4" max="4" width="24.7109375" customWidth="1"/>
    <col min="5" max="5" width="7.5703125" customWidth="1"/>
    <col min="6" max="6" width="40.7109375" style="2" bestFit="1" customWidth="1"/>
    <col min="7" max="7" width="24.140625" style="10" bestFit="1" customWidth="1"/>
    <col min="8" max="8" width="12.7109375" bestFit="1" customWidth="1"/>
    <col min="9" max="9" width="17" bestFit="1" customWidth="1"/>
    <col min="10" max="10" width="33" bestFit="1" customWidth="1"/>
  </cols>
  <sheetData>
    <row r="1" spans="1:10" x14ac:dyDescent="0.25">
      <c r="A1" s="5" t="s">
        <v>5</v>
      </c>
    </row>
    <row r="3" spans="1:10" ht="45" x14ac:dyDescent="0.25">
      <c r="A3" s="9" t="s">
        <v>15</v>
      </c>
      <c r="B3" s="9" t="s">
        <v>16</v>
      </c>
      <c r="C3" s="9" t="s">
        <v>448</v>
      </c>
      <c r="D3" s="9" t="s">
        <v>92</v>
      </c>
      <c r="E3" s="9" t="s">
        <v>157</v>
      </c>
      <c r="F3" s="9" t="s">
        <v>7</v>
      </c>
      <c r="G3" s="9" t="s">
        <v>138</v>
      </c>
      <c r="H3" s="9" t="s">
        <v>17</v>
      </c>
      <c r="I3" s="9" t="s">
        <v>139</v>
      </c>
      <c r="J3" s="9" t="s">
        <v>140</v>
      </c>
    </row>
    <row r="4" spans="1:10" ht="19.5" customHeight="1" x14ac:dyDescent="0.25">
      <c r="A4" s="42" t="s">
        <v>334</v>
      </c>
      <c r="B4" s="42" t="s">
        <v>20</v>
      </c>
      <c r="C4" s="42" t="s">
        <v>448</v>
      </c>
      <c r="D4" s="42"/>
      <c r="E4" s="42" t="s">
        <v>130</v>
      </c>
      <c r="F4" s="44" t="s">
        <v>335</v>
      </c>
      <c r="G4" s="43">
        <v>0</v>
      </c>
      <c r="H4" s="43">
        <v>4</v>
      </c>
      <c r="I4" s="43">
        <v>67</v>
      </c>
      <c r="J4" s="97" t="s">
        <v>149</v>
      </c>
    </row>
    <row r="5" spans="1:10" ht="24.75" customHeight="1" x14ac:dyDescent="0.25">
      <c r="A5" t="s">
        <v>336</v>
      </c>
      <c r="B5" t="s">
        <v>35</v>
      </c>
      <c r="E5" t="s">
        <v>130</v>
      </c>
      <c r="F5" s="2" t="s">
        <v>536</v>
      </c>
      <c r="G5" s="10" t="s">
        <v>116</v>
      </c>
      <c r="H5" s="10" t="s">
        <v>370</v>
      </c>
      <c r="I5" s="10" t="s">
        <v>371</v>
      </c>
    </row>
    <row r="6" spans="1:10" ht="18" customHeight="1" x14ac:dyDescent="0.25">
      <c r="A6" t="s">
        <v>338</v>
      </c>
      <c r="B6" t="s">
        <v>386</v>
      </c>
      <c r="E6" t="s">
        <v>130</v>
      </c>
      <c r="F6" s="2" t="s">
        <v>362</v>
      </c>
      <c r="G6" s="10">
        <v>0</v>
      </c>
      <c r="H6" s="10">
        <v>12</v>
      </c>
      <c r="I6" s="10">
        <v>10</v>
      </c>
    </row>
    <row r="7" spans="1:10" ht="18" customHeight="1" x14ac:dyDescent="0.25">
      <c r="A7" t="s">
        <v>340</v>
      </c>
      <c r="B7" t="s">
        <v>58</v>
      </c>
      <c r="E7" t="s">
        <v>392</v>
      </c>
      <c r="F7" s="2" t="s">
        <v>262</v>
      </c>
      <c r="G7" s="10" t="s">
        <v>372</v>
      </c>
      <c r="H7" s="10" t="s">
        <v>372</v>
      </c>
      <c r="I7" s="10" t="s">
        <v>373</v>
      </c>
    </row>
    <row r="8" spans="1:10" ht="27" customHeight="1" x14ac:dyDescent="0.25">
      <c r="A8" t="s">
        <v>341</v>
      </c>
      <c r="B8" t="s">
        <v>58</v>
      </c>
      <c r="E8" t="s">
        <v>392</v>
      </c>
      <c r="F8" s="2" t="s">
        <v>263</v>
      </c>
      <c r="G8" s="10" t="s">
        <v>374</v>
      </c>
      <c r="H8" s="10" t="s">
        <v>374</v>
      </c>
      <c r="I8" s="66" t="s">
        <v>375</v>
      </c>
    </row>
    <row r="9" spans="1:10" ht="31.5" customHeight="1" x14ac:dyDescent="0.25">
      <c r="A9" t="s">
        <v>342</v>
      </c>
      <c r="B9" t="s">
        <v>58</v>
      </c>
      <c r="E9" t="s">
        <v>392</v>
      </c>
      <c r="F9" s="2" t="s">
        <v>363</v>
      </c>
      <c r="G9" s="66" t="s">
        <v>387</v>
      </c>
      <c r="H9" s="10" t="s">
        <v>376</v>
      </c>
      <c r="I9" s="10" t="s">
        <v>377</v>
      </c>
    </row>
    <row r="10" spans="1:10" ht="24.75" customHeight="1" x14ac:dyDescent="0.25">
      <c r="A10" t="s">
        <v>551</v>
      </c>
      <c r="B10" t="s">
        <v>500</v>
      </c>
      <c r="E10" t="s">
        <v>392</v>
      </c>
      <c r="F10" s="2" t="s">
        <v>364</v>
      </c>
      <c r="G10" s="10">
        <v>-1</v>
      </c>
      <c r="H10" s="10">
        <v>0</v>
      </c>
      <c r="I10" s="10">
        <v>0</v>
      </c>
      <c r="J10" t="s">
        <v>389</v>
      </c>
    </row>
    <row r="11" spans="1:10" ht="21" customHeight="1" x14ac:dyDescent="0.25">
      <c r="A11" t="s">
        <v>344</v>
      </c>
      <c r="B11" t="s">
        <v>150</v>
      </c>
      <c r="E11" t="s">
        <v>392</v>
      </c>
      <c r="F11" s="2" t="s">
        <v>365</v>
      </c>
      <c r="G11" s="10">
        <v>-1</v>
      </c>
      <c r="H11" s="10">
        <v>32</v>
      </c>
      <c r="I11" s="10">
        <v>230</v>
      </c>
      <c r="J11" s="10" t="s">
        <v>389</v>
      </c>
    </row>
    <row r="12" spans="1:10" ht="17.25" customHeight="1" x14ac:dyDescent="0.25">
      <c r="A12" t="s">
        <v>346</v>
      </c>
      <c r="B12" t="s">
        <v>150</v>
      </c>
      <c r="E12" t="s">
        <v>130</v>
      </c>
      <c r="F12" s="2" t="s">
        <v>366</v>
      </c>
      <c r="G12" s="10">
        <v>-1</v>
      </c>
      <c r="H12" s="10">
        <v>47.84</v>
      </c>
      <c r="I12" s="10">
        <v>343.85</v>
      </c>
    </row>
    <row r="13" spans="1:10" ht="27" customHeight="1" x14ac:dyDescent="0.25">
      <c r="A13" t="s">
        <v>345</v>
      </c>
      <c r="B13" t="s">
        <v>385</v>
      </c>
      <c r="E13" t="s">
        <v>130</v>
      </c>
      <c r="F13" s="2" t="s">
        <v>367</v>
      </c>
      <c r="G13" s="10" t="s">
        <v>552</v>
      </c>
      <c r="H13" s="10" t="s">
        <v>381</v>
      </c>
      <c r="I13" s="10" t="s">
        <v>382</v>
      </c>
    </row>
    <row r="14" spans="1:10" ht="45" x14ac:dyDescent="0.25">
      <c r="A14" t="s">
        <v>339</v>
      </c>
      <c r="B14" t="s">
        <v>537</v>
      </c>
      <c r="F14" s="2" t="s">
        <v>368</v>
      </c>
      <c r="G14" s="10" t="s">
        <v>388</v>
      </c>
      <c r="H14" s="10" t="s">
        <v>383</v>
      </c>
      <c r="I14" s="10" t="s">
        <v>384</v>
      </c>
    </row>
    <row r="15" spans="1:10" x14ac:dyDescent="0.25">
      <c r="A15" t="s">
        <v>19</v>
      </c>
      <c r="B15" s="30" t="s">
        <v>20</v>
      </c>
      <c r="C15" s="30"/>
      <c r="D15" s="1" t="s">
        <v>534</v>
      </c>
      <c r="E15" t="s">
        <v>130</v>
      </c>
      <c r="F15" s="32" t="s">
        <v>141</v>
      </c>
      <c r="G15" s="31">
        <v>0</v>
      </c>
      <c r="H15" s="10">
        <v>1</v>
      </c>
      <c r="I15" s="10">
        <v>1</v>
      </c>
      <c r="J15" s="31" t="s">
        <v>142</v>
      </c>
    </row>
  </sheetData>
  <hyperlinks>
    <hyperlink ref="A1" location="Index!A1" display="Index" xr:uid="{407B4247-53C6-42DE-BB0E-8922ECB77A3F}"/>
    <hyperlink ref="D15" location="'Process Metadata'!A1" display="Import Batch Process Task" xr:uid="{C0D36691-1E5E-4E79-A4C5-F4F07B32F65F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C784-0636-4546-AEBD-373D76AD86DB}">
  <sheetPr>
    <tabColor theme="9" tint="0.39997558519241921"/>
  </sheetPr>
  <dimension ref="A1:I12"/>
  <sheetViews>
    <sheetView showOutlineSymbols="0" zoomScale="95" zoomScaleNormal="95" workbookViewId="0">
      <selection activeCell="A11" sqref="A11"/>
    </sheetView>
  </sheetViews>
  <sheetFormatPr defaultColWidth="36.28515625" defaultRowHeight="15" x14ac:dyDescent="0.25"/>
  <cols>
    <col min="1" max="1" width="30" style="3" bestFit="1" customWidth="1"/>
    <col min="2" max="2" width="16.140625" style="3" bestFit="1" customWidth="1"/>
    <col min="3" max="3" width="35.5703125" style="4" bestFit="1" customWidth="1"/>
    <col min="4" max="4" width="3.28515625" style="3" bestFit="1" customWidth="1"/>
    <col min="5" max="5" width="24.140625" style="3" bestFit="1" customWidth="1"/>
    <col min="6" max="6" width="16.28515625" style="23" bestFit="1" customWidth="1"/>
    <col min="7" max="7" width="16.85546875" style="23" bestFit="1" customWidth="1"/>
    <col min="8" max="8" width="24.7109375" style="23" bestFit="1" customWidth="1"/>
    <col min="9" max="9" width="29.140625" style="3" bestFit="1" customWidth="1"/>
    <col min="10" max="16384" width="36.28515625" style="3"/>
  </cols>
  <sheetData>
    <row r="1" spans="1:9" x14ac:dyDescent="0.25">
      <c r="A1" s="5" t="s">
        <v>5</v>
      </c>
    </row>
    <row r="2" spans="1:9" x14ac:dyDescent="0.25">
      <c r="A2" s="6" t="s">
        <v>114</v>
      </c>
      <c r="B2" s="6" t="s">
        <v>276</v>
      </c>
      <c r="C2" s="2"/>
    </row>
    <row r="3" spans="1:9" x14ac:dyDescent="0.25">
      <c r="A3" s="6" t="s">
        <v>43</v>
      </c>
      <c r="B3" s="103" t="s">
        <v>495</v>
      </c>
      <c r="C3" s="103"/>
      <c r="D3" s="103"/>
      <c r="E3" s="103"/>
      <c r="F3" s="103"/>
      <c r="G3" s="103"/>
      <c r="H3" s="103"/>
      <c r="I3" s="103"/>
    </row>
    <row r="5" spans="1:9" ht="30" x14ac:dyDescent="0.25">
      <c r="A5" s="24" t="s">
        <v>15</v>
      </c>
      <c r="B5" s="24" t="s">
        <v>16</v>
      </c>
      <c r="C5" s="24" t="s">
        <v>7</v>
      </c>
      <c r="D5" s="24" t="s">
        <v>52</v>
      </c>
      <c r="E5" s="24" t="s">
        <v>535</v>
      </c>
      <c r="F5" s="76" t="s">
        <v>47</v>
      </c>
      <c r="G5" s="24" t="s">
        <v>48</v>
      </c>
      <c r="H5" s="24" t="s">
        <v>183</v>
      </c>
      <c r="I5" s="24" t="s">
        <v>49</v>
      </c>
    </row>
    <row r="6" spans="1:9" s="48" customFormat="1" x14ac:dyDescent="0.25">
      <c r="A6" s="48" t="s">
        <v>511</v>
      </c>
      <c r="B6" s="49" t="s">
        <v>20</v>
      </c>
      <c r="C6" s="49" t="s">
        <v>277</v>
      </c>
      <c r="D6" s="48" t="s">
        <v>115</v>
      </c>
      <c r="F6" s="50"/>
      <c r="G6" s="50">
        <v>0</v>
      </c>
      <c r="H6" s="50">
        <v>152</v>
      </c>
    </row>
    <row r="7" spans="1:9" s="29" customFormat="1" x14ac:dyDescent="0.25">
      <c r="A7" s="29" t="s">
        <v>508</v>
      </c>
      <c r="B7" s="4" t="s">
        <v>403</v>
      </c>
      <c r="C7" s="79" t="s">
        <v>407</v>
      </c>
      <c r="F7" s="80" t="s">
        <v>404</v>
      </c>
      <c r="G7" s="80" t="s">
        <v>116</v>
      </c>
      <c r="H7" s="23" t="s">
        <v>292</v>
      </c>
    </row>
    <row r="8" spans="1:9" s="29" customFormat="1" x14ac:dyDescent="0.25">
      <c r="A8" s="29" t="s">
        <v>509</v>
      </c>
      <c r="B8" s="4" t="s">
        <v>403</v>
      </c>
      <c r="C8" s="79" t="s">
        <v>408</v>
      </c>
      <c r="F8" s="29" t="s">
        <v>116</v>
      </c>
      <c r="G8" s="80" t="s">
        <v>116</v>
      </c>
      <c r="H8" s="23" t="s">
        <v>295</v>
      </c>
    </row>
    <row r="9" spans="1:9" s="29" customFormat="1" x14ac:dyDescent="0.25">
      <c r="A9" s="29" t="s">
        <v>497</v>
      </c>
      <c r="B9" s="4" t="s">
        <v>500</v>
      </c>
      <c r="C9" s="79" t="s">
        <v>409</v>
      </c>
      <c r="F9" s="80">
        <v>-1</v>
      </c>
      <c r="G9" s="80">
        <v>-1</v>
      </c>
      <c r="H9" s="23">
        <v>1</v>
      </c>
    </row>
    <row r="10" spans="1:9" s="29" customFormat="1" x14ac:dyDescent="0.25">
      <c r="A10" s="29" t="s">
        <v>498</v>
      </c>
      <c r="B10" s="4" t="s">
        <v>500</v>
      </c>
      <c r="C10" s="79" t="s">
        <v>410</v>
      </c>
      <c r="F10" s="80">
        <v>-1</v>
      </c>
      <c r="G10" s="80">
        <v>-1</v>
      </c>
      <c r="H10" s="23">
        <v>0</v>
      </c>
    </row>
    <row r="11" spans="1:9" s="29" customFormat="1" x14ac:dyDescent="0.25">
      <c r="A11" s="29" t="s">
        <v>510</v>
      </c>
      <c r="B11" s="4" t="s">
        <v>403</v>
      </c>
      <c r="C11" s="79" t="s">
        <v>411</v>
      </c>
      <c r="F11" s="84" t="s">
        <v>116</v>
      </c>
      <c r="G11" s="84" t="s">
        <v>116</v>
      </c>
      <c r="H11" s="85" t="s">
        <v>412</v>
      </c>
    </row>
    <row r="12" spans="1:9" s="25" customFormat="1" x14ac:dyDescent="0.25">
      <c r="A12" s="25" t="s">
        <v>19</v>
      </c>
      <c r="B12" s="25" t="s">
        <v>20</v>
      </c>
      <c r="C12" s="26" t="s">
        <v>125</v>
      </c>
      <c r="E12" s="1" t="s">
        <v>534</v>
      </c>
      <c r="F12" s="27"/>
      <c r="G12" s="27">
        <v>0</v>
      </c>
      <c r="H12" s="27">
        <v>1</v>
      </c>
      <c r="I12" s="51" t="s">
        <v>185</v>
      </c>
    </row>
  </sheetData>
  <mergeCells count="1">
    <mergeCell ref="B3:I3"/>
  </mergeCells>
  <hyperlinks>
    <hyperlink ref="A1" location="Index!A1" display="Index" xr:uid="{45308477-F3E4-4D60-8EB3-DAE61972EA7E}"/>
    <hyperlink ref="I12" location="'Process Metadata'!A25" display="Import_Batch_Process_Task" xr:uid="{5F74E936-1E93-4349-B3B0-0036892E2644}"/>
    <hyperlink ref="H11" r:id="rId1" xr:uid="{CC05A6AC-2580-4932-9A65-F2AA655199FE}"/>
    <hyperlink ref="E12" location="'Process Metadata'!A1" display="Import Batch Process Task" xr:uid="{A249FC9A-DAD6-48E9-9AED-9AEA6814FFCF}"/>
  </hyperlinks>
  <pageMargins left="0.7" right="0.7" top="0.75" bottom="0.75" header="0.3" footer="0.3"/>
  <pageSetup paperSize="9" orientation="portrait" horizontalDpi="4294967293" verticalDpi="4294967293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DBDA-4B3D-4B9F-9914-D4DEE1202873}">
  <sheetPr>
    <tabColor theme="9" tint="0.39997558519241921"/>
  </sheetPr>
  <dimension ref="A1:J8"/>
  <sheetViews>
    <sheetView showOutlineSymbols="0" zoomScale="130" zoomScaleNormal="130" workbookViewId="0">
      <selection activeCell="A8" sqref="A8"/>
    </sheetView>
  </sheetViews>
  <sheetFormatPr defaultColWidth="36.28515625" defaultRowHeight="15" x14ac:dyDescent="0.25"/>
  <cols>
    <col min="1" max="1" width="30" style="3" bestFit="1" customWidth="1"/>
    <col min="2" max="2" width="16.140625" style="3" bestFit="1" customWidth="1"/>
    <col min="3" max="3" width="35.5703125" style="4" bestFit="1" customWidth="1"/>
    <col min="4" max="4" width="3.28515625" style="3" bestFit="1" customWidth="1"/>
    <col min="5" max="5" width="24.140625" style="3" bestFit="1" customWidth="1"/>
    <col min="6" max="6" width="13.140625" style="23" bestFit="1" customWidth="1"/>
    <col min="7" max="7" width="16.28515625" style="23" bestFit="1" customWidth="1"/>
    <col min="8" max="8" width="16.85546875" style="23" bestFit="1" customWidth="1"/>
    <col min="9" max="9" width="24.7109375" style="23" bestFit="1" customWidth="1"/>
    <col min="10" max="10" width="29.140625" style="3" bestFit="1" customWidth="1"/>
    <col min="11" max="16384" width="36.28515625" style="3"/>
  </cols>
  <sheetData>
    <row r="1" spans="1:10" x14ac:dyDescent="0.25">
      <c r="A1" s="5" t="s">
        <v>5</v>
      </c>
    </row>
    <row r="2" spans="1:10" x14ac:dyDescent="0.25">
      <c r="A2" s="6" t="s">
        <v>114</v>
      </c>
      <c r="B2" s="6" t="s">
        <v>276</v>
      </c>
      <c r="C2" s="2"/>
    </row>
    <row r="3" spans="1:10" x14ac:dyDescent="0.25">
      <c r="A3" s="6" t="s">
        <v>43</v>
      </c>
      <c r="B3" s="103" t="s">
        <v>492</v>
      </c>
      <c r="C3" s="103"/>
      <c r="D3" s="103"/>
      <c r="E3" s="103"/>
      <c r="F3" s="103"/>
      <c r="G3" s="103"/>
      <c r="H3" s="103"/>
      <c r="I3" s="103"/>
      <c r="J3" s="103"/>
    </row>
    <row r="5" spans="1:10" ht="30" x14ac:dyDescent="0.25">
      <c r="A5" s="24" t="s">
        <v>15</v>
      </c>
      <c r="B5" s="24" t="s">
        <v>16</v>
      </c>
      <c r="C5" s="24" t="s">
        <v>7</v>
      </c>
      <c r="D5" s="24" t="s">
        <v>52</v>
      </c>
      <c r="E5" s="24" t="s">
        <v>92</v>
      </c>
      <c r="F5" s="24" t="s">
        <v>46</v>
      </c>
      <c r="G5" s="76" t="s">
        <v>47</v>
      </c>
      <c r="H5" s="24" t="s">
        <v>48</v>
      </c>
      <c r="I5" s="24" t="s">
        <v>183</v>
      </c>
      <c r="J5" s="24" t="s">
        <v>49</v>
      </c>
    </row>
    <row r="6" spans="1:10" s="48" customFormat="1" x14ac:dyDescent="0.25">
      <c r="A6" s="48" t="s">
        <v>431</v>
      </c>
      <c r="B6" s="49" t="s">
        <v>20</v>
      </c>
      <c r="C6" s="49" t="s">
        <v>277</v>
      </c>
      <c r="D6" s="48" t="s">
        <v>115</v>
      </c>
      <c r="F6" s="50">
        <v>0</v>
      </c>
      <c r="G6" s="50"/>
      <c r="H6" s="50">
        <v>0</v>
      </c>
      <c r="I6" s="50">
        <v>152</v>
      </c>
    </row>
    <row r="7" spans="1:10" s="29" customFormat="1" x14ac:dyDescent="0.25">
      <c r="A7" s="29" t="s">
        <v>432</v>
      </c>
      <c r="B7" s="4" t="s">
        <v>419</v>
      </c>
      <c r="C7" s="79" t="s">
        <v>433</v>
      </c>
      <c r="F7" s="80" t="s">
        <v>479</v>
      </c>
      <c r="G7" s="80" t="s">
        <v>404</v>
      </c>
      <c r="H7" s="80" t="s">
        <v>116</v>
      </c>
      <c r="I7" s="23" t="s">
        <v>265</v>
      </c>
    </row>
    <row r="8" spans="1:10" s="25" customFormat="1" x14ac:dyDescent="0.25">
      <c r="A8" s="25" t="s">
        <v>19</v>
      </c>
      <c r="B8" s="25" t="s">
        <v>20</v>
      </c>
      <c r="C8" s="26" t="s">
        <v>125</v>
      </c>
      <c r="E8" s="1" t="s">
        <v>534</v>
      </c>
      <c r="F8" s="27" t="s">
        <v>53</v>
      </c>
      <c r="G8" s="27"/>
      <c r="H8" s="27">
        <v>0</v>
      </c>
      <c r="I8" s="27">
        <v>1</v>
      </c>
      <c r="J8" s="51" t="s">
        <v>185</v>
      </c>
    </row>
  </sheetData>
  <mergeCells count="1">
    <mergeCell ref="B3:J3"/>
  </mergeCells>
  <hyperlinks>
    <hyperlink ref="A1" location="Index!A1" display="Index" xr:uid="{B0852A24-D4CA-4E0B-AFA3-111AC1883625}"/>
    <hyperlink ref="J8" location="'Process Metadata'!A25" display="Import_Batch_Process_Task" xr:uid="{34458B83-3A46-4BCB-8F05-DB9C7AA4982B}"/>
    <hyperlink ref="E8" location="'Process Metadata'!A1" display="Import Batch Process Task" xr:uid="{5A3E16E8-AC36-4EF1-9B8A-A6D100631B5F}"/>
  </hyperlinks>
  <pageMargins left="0.7" right="0.7" top="0.75" bottom="0.75" header="0.3" footer="0.3"/>
  <pageSetup paperSize="9" orientation="portrait" horizontalDpi="4294967293" vertic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6104-D935-424A-A565-006B1CEDBEC5}">
  <sheetPr>
    <tabColor rgb="FF92D050"/>
  </sheetPr>
  <dimension ref="A1:J17"/>
  <sheetViews>
    <sheetView showOutlineSymbols="0" zoomScale="84" zoomScaleNormal="115" workbookViewId="0">
      <selection activeCell="G6" sqref="G6"/>
    </sheetView>
  </sheetViews>
  <sheetFormatPr defaultColWidth="21.28515625" defaultRowHeight="15" x14ac:dyDescent="0.25"/>
  <cols>
    <col min="1" max="1" width="35" customWidth="1"/>
    <col min="2" max="2" width="15.5703125" customWidth="1"/>
    <col min="3" max="3" width="7.5703125" customWidth="1"/>
    <col min="4" max="4" width="42.7109375" style="2" customWidth="1"/>
    <col min="5" max="5" width="7.5703125" style="2" customWidth="1"/>
    <col min="6" max="6" width="25.7109375" style="2" bestFit="1" customWidth="1"/>
    <col min="7" max="7" width="21.7109375" style="10" bestFit="1" customWidth="1"/>
    <col min="8" max="8" width="24.28515625" bestFit="1" customWidth="1"/>
    <col min="9" max="9" width="21.140625" bestFit="1" customWidth="1"/>
    <col min="10" max="10" width="30.7109375" bestFit="1" customWidth="1"/>
  </cols>
  <sheetData>
    <row r="1" spans="1:10" x14ac:dyDescent="0.25">
      <c r="A1" s="5" t="s">
        <v>5</v>
      </c>
    </row>
    <row r="3" spans="1:10" ht="45" x14ac:dyDescent="0.25">
      <c r="A3" s="9" t="s">
        <v>15</v>
      </c>
      <c r="B3" s="9" t="s">
        <v>16</v>
      </c>
      <c r="C3" s="9" t="s">
        <v>157</v>
      </c>
      <c r="D3" s="9" t="s">
        <v>7</v>
      </c>
      <c r="E3" s="9" t="s">
        <v>52</v>
      </c>
      <c r="F3" s="9" t="s">
        <v>92</v>
      </c>
      <c r="G3" s="9" t="s">
        <v>138</v>
      </c>
      <c r="H3" s="9" t="s">
        <v>17</v>
      </c>
      <c r="I3" s="9" t="s">
        <v>139</v>
      </c>
      <c r="J3" s="9" t="s">
        <v>140</v>
      </c>
    </row>
    <row r="4" spans="1:10" s="42" customFormat="1" x14ac:dyDescent="0.25">
      <c r="A4" s="42" t="s">
        <v>398</v>
      </c>
      <c r="B4" s="42" t="s">
        <v>20</v>
      </c>
      <c r="C4" s="42" t="s">
        <v>130</v>
      </c>
      <c r="D4" s="44" t="s">
        <v>317</v>
      </c>
      <c r="E4" s="44" t="s">
        <v>115</v>
      </c>
      <c r="F4" s="44"/>
      <c r="G4" s="43"/>
      <c r="H4" s="43">
        <v>79235</v>
      </c>
      <c r="I4" s="43">
        <v>79236</v>
      </c>
      <c r="J4" s="97" t="s">
        <v>149</v>
      </c>
    </row>
    <row r="5" spans="1:10" x14ac:dyDescent="0.25">
      <c r="A5" t="s">
        <v>399</v>
      </c>
      <c r="B5" t="s">
        <v>35</v>
      </c>
      <c r="C5" t="s">
        <v>130</v>
      </c>
      <c r="D5" s="2" t="s">
        <v>318</v>
      </c>
      <c r="H5" s="10">
        <v>249833</v>
      </c>
      <c r="I5" s="10">
        <v>249834</v>
      </c>
      <c r="J5" s="33" t="s">
        <v>149</v>
      </c>
    </row>
    <row r="6" spans="1:10" x14ac:dyDescent="0.25">
      <c r="A6" t="s">
        <v>400</v>
      </c>
      <c r="B6" t="s">
        <v>35</v>
      </c>
      <c r="C6" t="s">
        <v>130</v>
      </c>
      <c r="D6" s="2" t="s">
        <v>319</v>
      </c>
      <c r="F6" s="96" t="s">
        <v>42</v>
      </c>
      <c r="G6" s="66">
        <v>1</v>
      </c>
      <c r="H6" s="66">
        <v>45292</v>
      </c>
      <c r="I6" s="66">
        <v>45292</v>
      </c>
    </row>
    <row r="7" spans="1:10" x14ac:dyDescent="0.25">
      <c r="A7" t="s">
        <v>540</v>
      </c>
      <c r="B7" t="s">
        <v>20</v>
      </c>
      <c r="C7" t="s">
        <v>130</v>
      </c>
      <c r="D7" s="2" t="s">
        <v>391</v>
      </c>
      <c r="F7" s="96" t="s">
        <v>541</v>
      </c>
      <c r="G7" s="10">
        <v>0</v>
      </c>
      <c r="H7" s="10">
        <v>152</v>
      </c>
      <c r="I7" s="10">
        <v>1129</v>
      </c>
    </row>
    <row r="8" spans="1:10" x14ac:dyDescent="0.25">
      <c r="A8" t="s">
        <v>538</v>
      </c>
      <c r="B8" t="s">
        <v>20</v>
      </c>
      <c r="C8" t="s">
        <v>130</v>
      </c>
      <c r="D8" s="2" t="s">
        <v>320</v>
      </c>
      <c r="F8" s="96" t="s">
        <v>543</v>
      </c>
      <c r="G8" s="10">
        <v>0</v>
      </c>
      <c r="H8" s="10">
        <v>8</v>
      </c>
      <c r="I8" s="10">
        <v>2</v>
      </c>
    </row>
    <row r="9" spans="1:10" x14ac:dyDescent="0.25">
      <c r="A9" t="s">
        <v>539</v>
      </c>
      <c r="B9" t="s">
        <v>20</v>
      </c>
      <c r="C9" t="s">
        <v>130</v>
      </c>
      <c r="D9" s="2" t="s">
        <v>321</v>
      </c>
      <c r="F9" s="96" t="s">
        <v>542</v>
      </c>
      <c r="G9" s="10">
        <v>0</v>
      </c>
      <c r="H9" s="10">
        <v>78</v>
      </c>
      <c r="I9" s="82">
        <v>95</v>
      </c>
    </row>
    <row r="10" spans="1:10" x14ac:dyDescent="0.25">
      <c r="A10" t="s">
        <v>575</v>
      </c>
      <c r="B10" t="s">
        <v>35</v>
      </c>
      <c r="C10" t="s">
        <v>130</v>
      </c>
      <c r="D10" s="2" t="s">
        <v>323</v>
      </c>
      <c r="F10" s="96" t="s">
        <v>544</v>
      </c>
      <c r="G10" s="10" t="s">
        <v>116</v>
      </c>
      <c r="H10" s="10" t="s">
        <v>330</v>
      </c>
      <c r="I10" s="10" t="s">
        <v>331</v>
      </c>
    </row>
    <row r="11" spans="1:10" x14ac:dyDescent="0.25">
      <c r="A11" t="s">
        <v>351</v>
      </c>
      <c r="B11" t="s">
        <v>150</v>
      </c>
      <c r="C11" t="s">
        <v>390</v>
      </c>
      <c r="D11" s="2" t="s">
        <v>324</v>
      </c>
      <c r="H11" s="10">
        <v>84</v>
      </c>
      <c r="I11" s="10">
        <v>36</v>
      </c>
    </row>
    <row r="12" spans="1:10" x14ac:dyDescent="0.25">
      <c r="A12" t="s">
        <v>352</v>
      </c>
      <c r="B12" t="s">
        <v>150</v>
      </c>
      <c r="C12" t="s">
        <v>390</v>
      </c>
      <c r="D12" s="2" t="s">
        <v>326</v>
      </c>
      <c r="H12" s="10">
        <v>18</v>
      </c>
      <c r="I12" s="10">
        <v>18</v>
      </c>
    </row>
    <row r="13" spans="1:10" x14ac:dyDescent="0.25">
      <c r="A13" t="s">
        <v>354</v>
      </c>
      <c r="B13" t="s">
        <v>150</v>
      </c>
      <c r="C13" t="s">
        <v>390</v>
      </c>
      <c r="D13" s="2" t="s">
        <v>325</v>
      </c>
      <c r="H13" s="10">
        <v>15</v>
      </c>
      <c r="I13" s="10">
        <v>15</v>
      </c>
    </row>
    <row r="14" spans="1:10" x14ac:dyDescent="0.25">
      <c r="A14" t="s">
        <v>353</v>
      </c>
      <c r="B14" t="s">
        <v>150</v>
      </c>
      <c r="C14" t="s">
        <v>390</v>
      </c>
      <c r="D14" s="2" t="s">
        <v>327</v>
      </c>
      <c r="H14" s="10" t="s">
        <v>332</v>
      </c>
      <c r="I14" s="10" t="s">
        <v>333</v>
      </c>
    </row>
    <row r="15" spans="1:10" ht="30" x14ac:dyDescent="0.25">
      <c r="A15" t="s">
        <v>355</v>
      </c>
      <c r="B15" t="s">
        <v>150</v>
      </c>
      <c r="C15" t="s">
        <v>390</v>
      </c>
      <c r="D15" s="2" t="s">
        <v>328</v>
      </c>
      <c r="H15" s="10">
        <v>924</v>
      </c>
      <c r="I15" s="10">
        <v>378</v>
      </c>
    </row>
    <row r="16" spans="1:10" ht="30" x14ac:dyDescent="0.25">
      <c r="A16" t="s">
        <v>356</v>
      </c>
      <c r="B16" t="s">
        <v>150</v>
      </c>
      <c r="C16" t="s">
        <v>390</v>
      </c>
      <c r="D16" s="2" t="s">
        <v>329</v>
      </c>
      <c r="H16" s="10">
        <v>1738.8</v>
      </c>
      <c r="I16" s="10">
        <v>745.2</v>
      </c>
    </row>
    <row r="17" spans="1:10" x14ac:dyDescent="0.25">
      <c r="A17" t="s">
        <v>19</v>
      </c>
      <c r="B17" s="30" t="s">
        <v>20</v>
      </c>
      <c r="C17" t="s">
        <v>130</v>
      </c>
      <c r="D17" s="32" t="s">
        <v>141</v>
      </c>
      <c r="E17" s="32"/>
      <c r="F17" s="96" t="s">
        <v>534</v>
      </c>
      <c r="G17" s="31"/>
      <c r="H17" s="10">
        <v>1</v>
      </c>
      <c r="I17" s="10">
        <v>1</v>
      </c>
      <c r="J17" s="31" t="s">
        <v>142</v>
      </c>
    </row>
  </sheetData>
  <hyperlinks>
    <hyperlink ref="A1" location="Index!A1" display="Index" xr:uid="{CA07950C-F0B0-44DF-98A7-B4E2B5E6C06F}"/>
    <hyperlink ref="F17" location="'Process Metadata'!A1" display="Import Batch Process Task" xr:uid="{A84B3E62-B236-4772-9AA0-3B17CF8F0BDD}"/>
    <hyperlink ref="F7" location="S2_Customer!A1" display="S2_Customer" xr:uid="{D2781EAB-03A8-42A7-AB68-7B67612B6FCC}"/>
    <hyperlink ref="F8" location="S2_Employee!A1" display="S2_Employee" xr:uid="{3314FF02-7012-4B79-96A3-B284510533DF}"/>
    <hyperlink ref="F9" location="S2_Stock_Items!A1" display="S2_Stock_Items" xr:uid="{6374BD62-D193-49CF-A5FD-49F951E0377F}"/>
    <hyperlink ref="F10" location="S2_Package_Type!A1" display="S2_Package_Type" xr:uid="{6B94703D-E520-4A53-A73F-CC413F583EE6}"/>
    <hyperlink ref="F6" location="Date!A1" display="Date" xr:uid="{799191B3-0450-4228-9E32-AE8D08E0E43D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A7C9-98DE-4D90-97FC-0C0FE49964E7}">
  <sheetPr>
    <tabColor rgb="FF92D050"/>
  </sheetPr>
  <dimension ref="A1:K12"/>
  <sheetViews>
    <sheetView showOutlineSymbols="0" zoomScale="90" zoomScaleNormal="130" workbookViewId="0">
      <selection activeCell="I7" sqref="I7"/>
    </sheetView>
  </sheetViews>
  <sheetFormatPr defaultColWidth="44.140625" defaultRowHeight="15" x14ac:dyDescent="0.25"/>
  <cols>
    <col min="1" max="1" width="16.42578125" bestFit="1" customWidth="1"/>
    <col min="2" max="2" width="14.7109375" customWidth="1"/>
    <col min="3" max="3" width="9" bestFit="1" customWidth="1"/>
    <col min="4" max="4" width="42.28515625" bestFit="1" customWidth="1"/>
    <col min="5" max="5" width="5" bestFit="1" customWidth="1"/>
    <col min="6" max="6" width="5.28515625" bestFit="1" customWidth="1"/>
    <col min="7" max="7" width="8.85546875" style="10" bestFit="1" customWidth="1"/>
    <col min="8" max="8" width="16.28515625" style="10" bestFit="1" customWidth="1"/>
    <col min="9" max="9" width="16.85546875" bestFit="1" customWidth="1"/>
    <col min="10" max="10" width="11.28515625" bestFit="1" customWidth="1"/>
    <col min="11" max="11" width="11.7109375" bestFit="1" customWidth="1"/>
  </cols>
  <sheetData>
    <row r="1" spans="1:11" x14ac:dyDescent="0.25">
      <c r="A1" s="5" t="s">
        <v>5</v>
      </c>
    </row>
    <row r="2" spans="1:11" s="3" customFormat="1" x14ac:dyDescent="0.25">
      <c r="A2" s="6" t="s">
        <v>114</v>
      </c>
      <c r="B2" s="6" t="s">
        <v>42</v>
      </c>
      <c r="C2" s="2"/>
      <c r="E2" s="23"/>
      <c r="F2" s="23"/>
      <c r="G2" s="23"/>
      <c r="H2" s="23"/>
    </row>
    <row r="3" spans="1:11" x14ac:dyDescent="0.25">
      <c r="A3" s="8" t="s">
        <v>43</v>
      </c>
      <c r="B3" s="10" t="s">
        <v>275</v>
      </c>
      <c r="C3" s="10"/>
      <c r="D3" s="10"/>
      <c r="E3" s="10"/>
      <c r="F3" s="10"/>
      <c r="I3" s="10"/>
      <c r="J3" s="10"/>
      <c r="K3" s="10"/>
    </row>
    <row r="5" spans="1:11" ht="45" x14ac:dyDescent="0.25">
      <c r="A5" s="9" t="s">
        <v>15</v>
      </c>
      <c r="B5" s="9" t="s">
        <v>16</v>
      </c>
      <c r="C5" s="9" t="s">
        <v>157</v>
      </c>
      <c r="D5" s="9" t="s">
        <v>7</v>
      </c>
      <c r="E5" s="9" t="s">
        <v>44</v>
      </c>
      <c r="F5" s="9" t="s">
        <v>45</v>
      </c>
      <c r="G5" s="9" t="s">
        <v>46</v>
      </c>
      <c r="H5" s="9" t="s">
        <v>47</v>
      </c>
      <c r="I5" s="9" t="s">
        <v>48</v>
      </c>
      <c r="J5" s="9" t="s">
        <v>17</v>
      </c>
      <c r="K5" s="9" t="s">
        <v>49</v>
      </c>
    </row>
    <row r="6" spans="1:11" s="12" customFormat="1" ht="30" x14ac:dyDescent="0.25">
      <c r="A6" s="42" t="s">
        <v>42</v>
      </c>
      <c r="B6" s="44" t="s">
        <v>54</v>
      </c>
      <c r="C6" s="42" t="s">
        <v>130</v>
      </c>
      <c r="D6" s="44" t="s">
        <v>55</v>
      </c>
      <c r="E6" s="42" t="s">
        <v>52</v>
      </c>
      <c r="F6" s="42"/>
      <c r="G6" s="43" t="s">
        <v>53</v>
      </c>
      <c r="H6" s="46">
        <v>2958101</v>
      </c>
      <c r="I6" s="46">
        <v>1</v>
      </c>
      <c r="J6" s="62">
        <v>44388</v>
      </c>
      <c r="K6" s="42" t="s">
        <v>56</v>
      </c>
    </row>
    <row r="7" spans="1:11" x14ac:dyDescent="0.25">
      <c r="A7" t="s">
        <v>57</v>
      </c>
      <c r="B7" s="2" t="s">
        <v>58</v>
      </c>
      <c r="C7" t="s">
        <v>130</v>
      </c>
      <c r="D7" s="2" t="s">
        <v>59</v>
      </c>
      <c r="G7" s="10" t="s">
        <v>53</v>
      </c>
      <c r="H7" s="13" t="s">
        <v>60</v>
      </c>
      <c r="I7" s="13" t="s">
        <v>61</v>
      </c>
      <c r="J7" s="14" t="str">
        <f>TEXT(J6,"dd MMMM YYYY")</f>
        <v>11 July 2021</v>
      </c>
    </row>
    <row r="8" spans="1:11" ht="30" x14ac:dyDescent="0.25">
      <c r="A8" t="s">
        <v>64</v>
      </c>
      <c r="B8" s="2" t="s">
        <v>36</v>
      </c>
      <c r="C8" t="s">
        <v>130</v>
      </c>
      <c r="D8" s="2" t="s">
        <v>65</v>
      </c>
      <c r="G8" s="10" t="s">
        <v>53</v>
      </c>
      <c r="H8" s="10">
        <v>1</v>
      </c>
      <c r="I8" s="10">
        <v>1</v>
      </c>
      <c r="J8" s="10">
        <f>MONTH(J6)</f>
        <v>7</v>
      </c>
    </row>
    <row r="9" spans="1:11" x14ac:dyDescent="0.25">
      <c r="A9" t="s">
        <v>66</v>
      </c>
      <c r="B9" s="2" t="s">
        <v>62</v>
      </c>
      <c r="C9" t="s">
        <v>130</v>
      </c>
      <c r="D9" s="2" t="s">
        <v>67</v>
      </c>
      <c r="G9" s="10" t="s">
        <v>53</v>
      </c>
      <c r="H9" s="10" t="s">
        <v>68</v>
      </c>
      <c r="I9" s="10" t="s">
        <v>68</v>
      </c>
      <c r="J9" s="10" t="str">
        <f>TEXT(J6,"MMMM")</f>
        <v>July</v>
      </c>
    </row>
    <row r="10" spans="1:11" x14ac:dyDescent="0.25">
      <c r="A10" t="s">
        <v>69</v>
      </c>
      <c r="B10" s="2" t="s">
        <v>20</v>
      </c>
      <c r="C10" t="s">
        <v>130</v>
      </c>
      <c r="D10" s="2" t="s">
        <v>70</v>
      </c>
      <c r="G10" s="10" t="s">
        <v>53</v>
      </c>
      <c r="H10" s="13">
        <v>9999</v>
      </c>
      <c r="I10" s="13">
        <v>1900</v>
      </c>
      <c r="J10" s="13">
        <f>YEAR(J6)</f>
        <v>2021</v>
      </c>
    </row>
    <row r="11" spans="1:11" ht="60" x14ac:dyDescent="0.25">
      <c r="A11" t="s">
        <v>71</v>
      </c>
      <c r="B11" s="2" t="s">
        <v>72</v>
      </c>
      <c r="C11" t="s">
        <v>130</v>
      </c>
      <c r="D11" s="2" t="s">
        <v>73</v>
      </c>
      <c r="G11" s="10" t="s">
        <v>53</v>
      </c>
      <c r="H11" s="15" t="s">
        <v>74</v>
      </c>
      <c r="I11" s="15" t="s">
        <v>75</v>
      </c>
      <c r="J11" s="15" t="str">
        <f>TEXT(J6,"YYYY-MM")</f>
        <v>2021-07</v>
      </c>
    </row>
    <row r="12" spans="1:11" x14ac:dyDescent="0.25">
      <c r="A12" t="s">
        <v>228</v>
      </c>
      <c r="B12" s="2" t="s">
        <v>36</v>
      </c>
      <c r="C12" t="s">
        <v>130</v>
      </c>
      <c r="D12" s="2" t="s">
        <v>229</v>
      </c>
      <c r="G12" s="10" t="s">
        <v>53</v>
      </c>
      <c r="H12" s="10">
        <v>1</v>
      </c>
      <c r="I12">
        <v>1</v>
      </c>
      <c r="J12" s="10">
        <f>WEEKNUM(J6)</f>
        <v>29</v>
      </c>
    </row>
  </sheetData>
  <hyperlinks>
    <hyperlink ref="A1" location="Index!A1" display="Index" xr:uid="{F6373903-7AFA-4D2D-9056-5EEC6320E2D0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J40"/>
  <sheetViews>
    <sheetView showOutlineSymbols="0" topLeftCell="A12" workbookViewId="0">
      <selection activeCell="G14" sqref="G14"/>
    </sheetView>
  </sheetViews>
  <sheetFormatPr defaultRowHeight="15" x14ac:dyDescent="0.25"/>
  <cols>
    <col min="1" max="1" width="25.85546875" customWidth="1"/>
    <col min="2" max="2" width="12" bestFit="1" customWidth="1"/>
    <col min="3" max="3" width="11" bestFit="1" customWidth="1"/>
    <col min="4" max="4" width="3.28515625" bestFit="1" customWidth="1"/>
    <col min="5" max="5" width="3.140625" bestFit="1" customWidth="1"/>
    <col min="6" max="6" width="54.5703125" customWidth="1"/>
    <col min="10" max="10" width="106.140625" customWidth="1"/>
  </cols>
  <sheetData>
    <row r="1" spans="1:10" x14ac:dyDescent="0.25">
      <c r="A1" s="1" t="s">
        <v>5</v>
      </c>
    </row>
    <row r="3" spans="1:10" x14ac:dyDescent="0.25">
      <c r="A3" t="s">
        <v>158</v>
      </c>
    </row>
    <row r="5" spans="1:10" x14ac:dyDescent="0.25">
      <c r="A5" s="60" t="s">
        <v>25</v>
      </c>
      <c r="F5" s="60" t="s">
        <v>215</v>
      </c>
      <c r="J5" s="8" t="s">
        <v>159</v>
      </c>
    </row>
    <row r="6" spans="1:10" ht="19.7" customHeight="1" x14ac:dyDescent="0.25">
      <c r="A6" s="16" t="s">
        <v>15</v>
      </c>
      <c r="B6" s="16" t="s">
        <v>16</v>
      </c>
      <c r="C6" s="16" t="s">
        <v>91</v>
      </c>
      <c r="D6" s="16" t="s">
        <v>52</v>
      </c>
      <c r="E6" s="16" t="s">
        <v>92</v>
      </c>
      <c r="F6" s="16" t="s">
        <v>7</v>
      </c>
      <c r="J6" s="104" t="s">
        <v>160</v>
      </c>
    </row>
    <row r="7" spans="1:10" x14ac:dyDescent="0.25">
      <c r="A7" t="s">
        <v>90</v>
      </c>
      <c r="B7" t="s">
        <v>20</v>
      </c>
      <c r="D7" t="s">
        <v>11</v>
      </c>
      <c r="F7" t="s">
        <v>89</v>
      </c>
      <c r="J7" s="104"/>
    </row>
    <row r="8" spans="1:10" x14ac:dyDescent="0.25">
      <c r="A8" t="s">
        <v>88</v>
      </c>
      <c r="B8" t="s">
        <v>35</v>
      </c>
      <c r="F8" t="s">
        <v>87</v>
      </c>
      <c r="J8" s="104"/>
    </row>
    <row r="9" spans="1:10" x14ac:dyDescent="0.25">
      <c r="A9" t="s">
        <v>86</v>
      </c>
      <c r="B9" t="s">
        <v>63</v>
      </c>
      <c r="F9" t="s">
        <v>155</v>
      </c>
      <c r="J9" s="104"/>
    </row>
    <row r="10" spans="1:10" x14ac:dyDescent="0.25">
      <c r="A10" t="s">
        <v>85</v>
      </c>
      <c r="B10" t="s">
        <v>63</v>
      </c>
      <c r="F10" t="s">
        <v>156</v>
      </c>
      <c r="J10" s="104"/>
    </row>
    <row r="11" spans="1:10" x14ac:dyDescent="0.25">
      <c r="A11" t="s">
        <v>84</v>
      </c>
      <c r="B11" t="s">
        <v>81</v>
      </c>
      <c r="F11" t="s">
        <v>83</v>
      </c>
      <c r="J11" s="104"/>
    </row>
    <row r="12" spans="1:10" x14ac:dyDescent="0.25">
      <c r="A12" t="s">
        <v>82</v>
      </c>
      <c r="B12" t="s">
        <v>81</v>
      </c>
      <c r="C12" t="s">
        <v>11</v>
      </c>
      <c r="F12" t="s">
        <v>80</v>
      </c>
      <c r="J12" s="104"/>
    </row>
    <row r="13" spans="1:10" x14ac:dyDescent="0.25">
      <c r="A13" t="s">
        <v>79</v>
      </c>
      <c r="B13" t="s">
        <v>62</v>
      </c>
      <c r="F13" t="s">
        <v>78</v>
      </c>
      <c r="J13" s="104"/>
    </row>
    <row r="16" spans="1:10" x14ac:dyDescent="0.25">
      <c r="A16" s="60" t="s">
        <v>27</v>
      </c>
      <c r="F16" s="60" t="s">
        <v>216</v>
      </c>
    </row>
    <row r="17" spans="1:6" x14ac:dyDescent="0.25">
      <c r="A17" s="16" t="s">
        <v>15</v>
      </c>
      <c r="B17" s="16" t="s">
        <v>16</v>
      </c>
      <c r="C17" s="16" t="s">
        <v>91</v>
      </c>
      <c r="D17" s="16" t="s">
        <v>52</v>
      </c>
      <c r="E17" s="16" t="s">
        <v>92</v>
      </c>
      <c r="F17" s="16" t="s">
        <v>7</v>
      </c>
    </row>
    <row r="18" spans="1:6" x14ac:dyDescent="0.25">
      <c r="A18" t="s">
        <v>93</v>
      </c>
      <c r="B18" t="s">
        <v>20</v>
      </c>
      <c r="D18" t="s">
        <v>11</v>
      </c>
      <c r="F18" s="2" t="s">
        <v>94</v>
      </c>
    </row>
    <row r="19" spans="1:6" x14ac:dyDescent="0.25">
      <c r="A19" t="s">
        <v>90</v>
      </c>
      <c r="B19" t="s">
        <v>20</v>
      </c>
      <c r="E19" t="s">
        <v>11</v>
      </c>
      <c r="F19" t="s">
        <v>95</v>
      </c>
    </row>
    <row r="20" spans="1:6" x14ac:dyDescent="0.25">
      <c r="A20" t="s">
        <v>96</v>
      </c>
      <c r="B20" t="s">
        <v>35</v>
      </c>
      <c r="F20" t="s">
        <v>87</v>
      </c>
    </row>
    <row r="21" spans="1:6" x14ac:dyDescent="0.25">
      <c r="A21" t="s">
        <v>97</v>
      </c>
      <c r="B21" t="s">
        <v>81</v>
      </c>
      <c r="F21" t="s">
        <v>83</v>
      </c>
    </row>
    <row r="22" spans="1:6" x14ac:dyDescent="0.25">
      <c r="A22" t="s">
        <v>98</v>
      </c>
      <c r="B22" t="s">
        <v>81</v>
      </c>
      <c r="C22" t="s">
        <v>11</v>
      </c>
      <c r="F22" t="s">
        <v>80</v>
      </c>
    </row>
    <row r="23" spans="1:6" x14ac:dyDescent="0.25">
      <c r="A23" t="s">
        <v>99</v>
      </c>
      <c r="B23" t="s">
        <v>62</v>
      </c>
      <c r="F23" t="s">
        <v>78</v>
      </c>
    </row>
    <row r="25" spans="1:6" x14ac:dyDescent="0.25">
      <c r="A25" s="60" t="s">
        <v>30</v>
      </c>
      <c r="F25" s="60" t="s">
        <v>217</v>
      </c>
    </row>
    <row r="26" spans="1:6" x14ac:dyDescent="0.25">
      <c r="A26" s="16" t="s">
        <v>15</v>
      </c>
      <c r="B26" s="16" t="s">
        <v>16</v>
      </c>
      <c r="C26" s="16" t="s">
        <v>91</v>
      </c>
      <c r="D26" s="16" t="s">
        <v>52</v>
      </c>
      <c r="E26" s="16" t="s">
        <v>92</v>
      </c>
      <c r="F26" s="16" t="s">
        <v>7</v>
      </c>
    </row>
    <row r="27" spans="1:6" x14ac:dyDescent="0.25">
      <c r="A27" t="s">
        <v>19</v>
      </c>
      <c r="B27" t="s">
        <v>20</v>
      </c>
      <c r="D27" t="s">
        <v>11</v>
      </c>
      <c r="F27" t="s">
        <v>214</v>
      </c>
    </row>
    <row r="28" spans="1:6" x14ac:dyDescent="0.25">
      <c r="A28" t="s">
        <v>93</v>
      </c>
      <c r="B28" t="s">
        <v>20</v>
      </c>
      <c r="E28" t="s">
        <v>11</v>
      </c>
      <c r="F28" t="s">
        <v>100</v>
      </c>
    </row>
    <row r="29" spans="1:6" x14ac:dyDescent="0.25">
      <c r="A29" t="s">
        <v>101</v>
      </c>
      <c r="B29" t="s">
        <v>35</v>
      </c>
      <c r="F29" t="s">
        <v>102</v>
      </c>
    </row>
    <row r="30" spans="1:6" x14ac:dyDescent="0.25">
      <c r="A30" t="s">
        <v>103</v>
      </c>
      <c r="B30" t="s">
        <v>81</v>
      </c>
      <c r="F30" t="s">
        <v>83</v>
      </c>
    </row>
    <row r="31" spans="1:6" x14ac:dyDescent="0.25">
      <c r="A31" t="s">
        <v>104</v>
      </c>
      <c r="B31" t="s">
        <v>81</v>
      </c>
      <c r="C31" t="s">
        <v>11</v>
      </c>
      <c r="F31" t="s">
        <v>80</v>
      </c>
    </row>
    <row r="32" spans="1:6" x14ac:dyDescent="0.25">
      <c r="A32" t="s">
        <v>105</v>
      </c>
      <c r="B32" t="s">
        <v>62</v>
      </c>
      <c r="F32" t="s">
        <v>78</v>
      </c>
    </row>
    <row r="33" spans="1:6" x14ac:dyDescent="0.25">
      <c r="A33" t="s">
        <v>106</v>
      </c>
      <c r="B33" t="s">
        <v>20</v>
      </c>
      <c r="C33" t="s">
        <v>11</v>
      </c>
      <c r="F33" t="s">
        <v>107</v>
      </c>
    </row>
    <row r="34" spans="1:6" x14ac:dyDescent="0.25">
      <c r="A34" t="s">
        <v>108</v>
      </c>
      <c r="B34" t="s">
        <v>20</v>
      </c>
      <c r="C34" t="s">
        <v>11</v>
      </c>
      <c r="F34" t="s">
        <v>109</v>
      </c>
    </row>
    <row r="35" spans="1:6" x14ac:dyDescent="0.25">
      <c r="A35" t="s">
        <v>110</v>
      </c>
      <c r="B35" t="s">
        <v>20</v>
      </c>
      <c r="C35" t="s">
        <v>11</v>
      </c>
      <c r="F35" t="s">
        <v>111</v>
      </c>
    </row>
    <row r="36" spans="1:6" x14ac:dyDescent="0.25">
      <c r="A36" s="17" t="s">
        <v>218</v>
      </c>
      <c r="B36" s="17" t="s">
        <v>20</v>
      </c>
      <c r="C36" s="17" t="s">
        <v>11</v>
      </c>
      <c r="D36" s="17"/>
      <c r="E36" s="17"/>
      <c r="F36" s="17" t="s">
        <v>219</v>
      </c>
    </row>
    <row r="37" spans="1:6" x14ac:dyDescent="0.25">
      <c r="A37" s="17" t="s">
        <v>220</v>
      </c>
      <c r="B37" s="17" t="s">
        <v>20</v>
      </c>
      <c r="C37" s="17" t="s">
        <v>11</v>
      </c>
      <c r="D37" s="17"/>
      <c r="E37" s="17"/>
      <c r="F37" s="17" t="s">
        <v>221</v>
      </c>
    </row>
    <row r="38" spans="1:6" x14ac:dyDescent="0.25">
      <c r="A38" s="17" t="s">
        <v>222</v>
      </c>
      <c r="B38" s="17" t="s">
        <v>20</v>
      </c>
      <c r="C38" s="17" t="s">
        <v>11</v>
      </c>
      <c r="D38" s="17"/>
      <c r="E38" s="17"/>
      <c r="F38" s="17" t="s">
        <v>224</v>
      </c>
    </row>
    <row r="39" spans="1:6" x14ac:dyDescent="0.25">
      <c r="A39" s="17" t="s">
        <v>223</v>
      </c>
      <c r="B39" s="17" t="s">
        <v>20</v>
      </c>
      <c r="C39" s="17" t="s">
        <v>11</v>
      </c>
      <c r="D39" s="17"/>
      <c r="E39" s="17"/>
      <c r="F39" s="17" t="s">
        <v>225</v>
      </c>
    </row>
    <row r="40" spans="1:6" x14ac:dyDescent="0.25">
      <c r="A40" s="17" t="s">
        <v>226</v>
      </c>
      <c r="B40" s="17" t="s">
        <v>20</v>
      </c>
      <c r="C40" s="17" t="s">
        <v>11</v>
      </c>
      <c r="D40" s="17"/>
      <c r="E40" s="17"/>
      <c r="F40" s="17" t="s">
        <v>227</v>
      </c>
    </row>
  </sheetData>
  <mergeCells count="1">
    <mergeCell ref="J6:J13"/>
  </mergeCells>
  <hyperlinks>
    <hyperlink ref="A1" location="Index!A1" display="Index" xr:uid="{00000000-0004-0000-11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Index</vt:lpstr>
      <vt:lpstr>Naming Conventions</vt:lpstr>
      <vt:lpstr>Bus Matrix</vt:lpstr>
      <vt:lpstr>AtomicDW</vt:lpstr>
      <vt:lpstr>Invoicing_Fact</vt:lpstr>
      <vt:lpstr>Invoice_Date</vt:lpstr>
      <vt:lpstr>Customer_Dim</vt:lpstr>
      <vt:lpstr>Employee_Dim</vt:lpstr>
      <vt:lpstr>Stock_Item_Dim</vt:lpstr>
      <vt:lpstr>Package_Type_Dim</vt:lpstr>
      <vt:lpstr>Source Files</vt:lpstr>
      <vt:lpstr>SF_Customer</vt:lpstr>
      <vt:lpstr>SF_Person</vt:lpstr>
      <vt:lpstr>SF_Invoice Lines</vt:lpstr>
      <vt:lpstr>SF_Stock_Items</vt:lpstr>
      <vt:lpstr>Stage1</vt:lpstr>
      <vt:lpstr>S1_Customer</vt:lpstr>
      <vt:lpstr>S1_Person</vt:lpstr>
      <vt:lpstr>S1_Stock_Items </vt:lpstr>
      <vt:lpstr>S1_Invoice_Lines</vt:lpstr>
      <vt:lpstr>Stage2</vt:lpstr>
      <vt:lpstr>S2_Customer_Category_Lookup</vt:lpstr>
      <vt:lpstr>S2_Customer</vt:lpstr>
      <vt:lpstr>S2_Stock_Items</vt:lpstr>
      <vt:lpstr>S2_Employee</vt:lpstr>
      <vt:lpstr>S2_Package_Type</vt:lpstr>
      <vt:lpstr>S2_Invoice_Lines</vt:lpstr>
      <vt:lpstr>S2_Invoice_Date </vt:lpstr>
      <vt:lpstr>Process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2026-03-10T08:36:25Z</dcterms:created>
  <dcterms:modified xsi:type="dcterms:W3CDTF">2026-10-09T18:05:10Z</dcterms:modified>
</cp:coreProperties>
</file>