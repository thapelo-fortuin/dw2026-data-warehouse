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F48CEDF9-B619-41DA-8E6C-A86F74680A0A}" xr6:coauthVersionLast="47" xr6:coauthVersionMax="47" xr10:uidLastSave="{00000000-0000-0000-0000-000000000000}"/>
  <bookViews>
    <workbookView xWindow="28680" yWindow="-120" windowWidth="29040" windowHeight="15720" tabRatio="761" autoFilterDateGrouping="0" xr2:uid="{00000000-000D-0000-FFFF-FFFF00000000}"/>
  </bookViews>
  <sheets>
    <sheet name="Index" sheetId="1" r:id="rId1"/>
    <sheet name="Naming Conventions" sheetId="30" r:id="rId2"/>
    <sheet name="Bus Matrix" sheetId="27" r:id="rId3"/>
    <sheet name="AtomicDW" sheetId="37" r:id="rId4"/>
    <sheet name="Fact table template" sheetId="29" r:id="rId5"/>
    <sheet name="Date" sheetId="7" r:id="rId6"/>
    <sheet name="Dimension Template" sheetId="63" r:id="rId7"/>
    <sheet name="Source Files" sheetId="2" r:id="rId8"/>
    <sheet name="SF_Customer" sheetId="66" r:id="rId9"/>
    <sheet name="Stage1" sheetId="4" r:id="rId10"/>
    <sheet name="S1_Customer" sheetId="73" r:id="rId11"/>
    <sheet name="Stage2" sheetId="32" r:id="rId12"/>
    <sheet name="Process Metadata" sheetId="9" r:id="rId13"/>
  </sheets>
  <externalReferences>
    <externalReference r:id="rId14"/>
  </externalReferences>
  <definedNames>
    <definedName name="_xlnm._FilterDatabase" localSheetId="1" hidden="1">'Naming Conventions'!#REF!</definedName>
    <definedName name="LU_DOW" localSheetId="3">#REF!</definedName>
    <definedName name="LU_DOW" localSheetId="10">#REF!</definedName>
    <definedName name="LU_DOW" localSheetId="11">#REF!</definedName>
    <definedName name="LU_DOW">#REF!</definedName>
    <definedName name="the_date">'[1]Calendar Day'!$A$31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7" l="1"/>
  <c r="J12" i="7"/>
  <c r="J11" i="7"/>
  <c r="J10" i="7"/>
  <c r="J9" i="7"/>
  <c r="J8" i="7"/>
  <c r="J6" i="7"/>
</calcChain>
</file>

<file path=xl/sharedStrings.xml><?xml version="1.0" encoding="utf-8"?>
<sst xmlns="http://schemas.openxmlformats.org/spreadsheetml/2006/main" count="563" uniqueCount="291">
  <si>
    <t>Source Files</t>
  </si>
  <si>
    <t>File name</t>
  </si>
  <si>
    <t>Source system</t>
  </si>
  <si>
    <t>Desription</t>
  </si>
  <si>
    <t>File format</t>
  </si>
  <si>
    <t>Index</t>
  </si>
  <si>
    <t>Source ID</t>
  </si>
  <si>
    <t>Description</t>
  </si>
  <si>
    <t>Example1</t>
  </si>
  <si>
    <t>Example2</t>
  </si>
  <si>
    <t>Business ID</t>
  </si>
  <si>
    <t>Y</t>
  </si>
  <si>
    <t>Stage1 is an ETL staging database that will store imported source data as extracted from the sources systems.</t>
  </si>
  <si>
    <t>All data for this database is currently imported as part of a batch process</t>
  </si>
  <si>
    <t>Data Tables</t>
  </si>
  <si>
    <t>Column</t>
  </si>
  <si>
    <t>DB Type</t>
  </si>
  <si>
    <t>Example 1</t>
  </si>
  <si>
    <t>Field Name</t>
  </si>
  <si>
    <t>IBPT_ID</t>
  </si>
  <si>
    <t>int</t>
  </si>
  <si>
    <t>Name</t>
  </si>
  <si>
    <t>Source type</t>
  </si>
  <si>
    <t>Abbreviation</t>
  </si>
  <si>
    <t>Process Metadata Tables</t>
  </si>
  <si>
    <t>Import_Batch</t>
  </si>
  <si>
    <t>IB</t>
  </si>
  <si>
    <t>Import_Batch_Process</t>
  </si>
  <si>
    <t>One record for each subset of related source system files</t>
  </si>
  <si>
    <t>IBP</t>
  </si>
  <si>
    <t>Import_Batch_Process_Task</t>
  </si>
  <si>
    <t>One record for each source system file imported</t>
  </si>
  <si>
    <t>IBPT</t>
  </si>
  <si>
    <t>One record created each time the batch data set is imported</t>
  </si>
  <si>
    <t>S1_Import</t>
  </si>
  <si>
    <t>Flat file</t>
  </si>
  <si>
    <t>nvarchar(50)</t>
  </si>
  <si>
    <t>tinyint</t>
  </si>
  <si>
    <t>Dimension Type:</t>
  </si>
  <si>
    <t>Business Process</t>
  </si>
  <si>
    <t>Fact tables</t>
  </si>
  <si>
    <t>Fact table type</t>
  </si>
  <si>
    <t>Granularity</t>
  </si>
  <si>
    <t>Date</t>
  </si>
  <si>
    <t>Description:</t>
  </si>
  <si>
    <t>Key?</t>
  </si>
  <si>
    <t>FK to</t>
  </si>
  <si>
    <t>SCD Type</t>
  </si>
  <si>
    <t>No Value member</t>
  </si>
  <si>
    <t>Unknown member</t>
  </si>
  <si>
    <t>Comments</t>
  </si>
  <si>
    <t>Date_Key</t>
  </si>
  <si>
    <t>Surrogate primary key</t>
  </si>
  <si>
    <t>PK</t>
  </si>
  <si>
    <t>N/A</t>
  </si>
  <si>
    <t>date</t>
  </si>
  <si>
    <t>Business Key, a day represented by a date value</t>
  </si>
  <si>
    <t>Create Index</t>
  </si>
  <si>
    <t>Date_Description</t>
  </si>
  <si>
    <t>nvarchar(20)</t>
  </si>
  <si>
    <t>Full date description in English</t>
  </si>
  <si>
    <t>*No Date</t>
  </si>
  <si>
    <t>*Unknown date</t>
  </si>
  <si>
    <t>nvarchar(10)</t>
  </si>
  <si>
    <t>smallint</t>
  </si>
  <si>
    <t>Month_Of_Year</t>
  </si>
  <si>
    <t>The calendar month of the year as a number, where January equals 1</t>
  </si>
  <si>
    <t>Month</t>
  </si>
  <si>
    <t>Calendar month name in English</t>
  </si>
  <si>
    <t>January</t>
  </si>
  <si>
    <t>Year</t>
  </si>
  <si>
    <t>Calendar year as a number</t>
  </si>
  <si>
    <t>Year_Month</t>
  </si>
  <si>
    <t>nchar(7)</t>
  </si>
  <si>
    <t>Calendar year as a number concatenated with the calendar month as a number (including leading zeros) represented as a character string</t>
  </si>
  <si>
    <t>9999-01</t>
  </si>
  <si>
    <t>1900-01</t>
  </si>
  <si>
    <t>Bus Matrix</t>
  </si>
  <si>
    <t>Dimensions</t>
  </si>
  <si>
    <t>Running, Failed, Completed</t>
  </si>
  <si>
    <t>IB_Status</t>
  </si>
  <si>
    <t>End date and time for the process</t>
  </si>
  <si>
    <t>datetime</t>
  </si>
  <si>
    <t>IB_End</t>
  </si>
  <si>
    <t>Start date and time for the process</t>
  </si>
  <si>
    <t>IB_Start</t>
  </si>
  <si>
    <t>IB_Month</t>
  </si>
  <si>
    <t>IB_Year</t>
  </si>
  <si>
    <t>description of the SSIS package</t>
  </si>
  <si>
    <t>IB_Description</t>
  </si>
  <si>
    <t>auto generated ID for the import batch</t>
  </si>
  <si>
    <t>IB_ID</t>
  </si>
  <si>
    <t>Allow null?</t>
  </si>
  <si>
    <t>FK</t>
  </si>
  <si>
    <t>IBP_ID</t>
  </si>
  <si>
    <t>auto generated ID for the import batch process</t>
  </si>
  <si>
    <t>Foreign key to Import_Batch</t>
  </si>
  <si>
    <t>IBP_Description</t>
  </si>
  <si>
    <t>IBP_Start</t>
  </si>
  <si>
    <t>IBP_End</t>
  </si>
  <si>
    <t>IBP_Status</t>
  </si>
  <si>
    <t>Foreign key to Import_Batch_Process</t>
  </si>
  <si>
    <t>IBPT_Description</t>
  </si>
  <si>
    <t>description of the data flow</t>
  </si>
  <si>
    <t>IBPT_Start</t>
  </si>
  <si>
    <t>IBPT_End</t>
  </si>
  <si>
    <t>IBPT_Status</t>
  </si>
  <si>
    <t>IBPT_Records_In</t>
  </si>
  <si>
    <t>number of records for input to the task</t>
  </si>
  <si>
    <t>IBPT_Records_Failed</t>
  </si>
  <si>
    <t>number of records with errors that could not be loaded</t>
  </si>
  <si>
    <t>IBPT_Records_Out</t>
  </si>
  <si>
    <t>number of records successfully loaded</t>
  </si>
  <si>
    <t>Base Dimension Name:</t>
  </si>
  <si>
    <t>Fact table</t>
  </si>
  <si>
    <t>Name:</t>
  </si>
  <si>
    <t>BK</t>
  </si>
  <si>
    <t>*Unknown</t>
  </si>
  <si>
    <t>Effective_Date</t>
  </si>
  <si>
    <t>Record effective date</t>
  </si>
  <si>
    <t>Housekeeping column</t>
  </si>
  <si>
    <t>Expiration_Date</t>
  </si>
  <si>
    <t>Record expiration date</t>
  </si>
  <si>
    <t>IsCurrent</t>
  </si>
  <si>
    <t>bit</t>
  </si>
  <si>
    <t>latest version, 1 if true, 0 if false</t>
  </si>
  <si>
    <t>Import Batch Process Task ID</t>
  </si>
  <si>
    <t>Import_Action</t>
  </si>
  <si>
    <t>Latest Import Batch action (Insert, Update, Expire)</t>
  </si>
  <si>
    <t>Insert</t>
  </si>
  <si>
    <t>NULL allowed?</t>
  </si>
  <si>
    <t>No</t>
  </si>
  <si>
    <t>Naming Conventions</t>
  </si>
  <si>
    <t>csv file; Encoding: Western (Windows 1252)</t>
  </si>
  <si>
    <t>Expected Type, length/size, range</t>
  </si>
  <si>
    <t>decimal, max 2 decimals, &gt; 0</t>
  </si>
  <si>
    <t>Are there missing values? Are nulls allowed</t>
  </si>
  <si>
    <t>Other comments</t>
  </si>
  <si>
    <t>No, No</t>
  </si>
  <si>
    <t>NULL value replacement</t>
  </si>
  <si>
    <t>Example 2</t>
  </si>
  <si>
    <t>Notes</t>
  </si>
  <si>
    <t>Metadata: Import Batch Process Task ID</t>
  </si>
  <si>
    <t>FK key to Import Batch Process Task</t>
  </si>
  <si>
    <t>Folder:</t>
  </si>
  <si>
    <t>Stage1 database</t>
  </si>
  <si>
    <t>DB name:</t>
  </si>
  <si>
    <t>Stage1</t>
  </si>
  <si>
    <t>Table name:</t>
  </si>
  <si>
    <t>Source File</t>
  </si>
  <si>
    <t>Error if null</t>
  </si>
  <si>
    <t>numeric(10,2)</t>
  </si>
  <si>
    <t>\SourceFiles\YYYYM(M)</t>
  </si>
  <si>
    <t>Views name:</t>
  </si>
  <si>
    <t>The only transformations that will occur during this first import step, is to replace some missing or NULL values with default values.</t>
  </si>
  <si>
    <t>Source</t>
  </si>
  <si>
    <t>Batch year</t>
  </si>
  <si>
    <t>Batch month</t>
  </si>
  <si>
    <t>NULL Allowed?</t>
  </si>
  <si>
    <t>Process Metadata Tables and Views</t>
  </si>
  <si>
    <t>V_IB_Latest</t>
  </si>
  <si>
    <t>SELECT        IB_Year, IB_Month, MAX(IB_ID) AS Latest_IB_ID, EOMONTH(DATEFROMPARTS(IB_Year, IB_Month, 1)) AS Last_Day_Of_Month
FROM            dbo.Import_Batch
GROUP BY IB_Year, IB_Month, EOMONTH(DATEFROMPARTS(IB_Year, IB_Month, 1))</t>
  </si>
  <si>
    <t>Process Metadata Views</t>
  </si>
  <si>
    <t>Lists the latest IB_ID for each IB_Year and IB_Month</t>
  </si>
  <si>
    <t>Source tables</t>
  </si>
  <si>
    <t>(data tables only)</t>
  </si>
  <si>
    <t>Stage2</t>
  </si>
  <si>
    <t>Stage2 database</t>
  </si>
  <si>
    <t xml:space="preserve">Stage2 is an ETL staging database that stores dimension and fact table data in preparation for loading. </t>
  </si>
  <si>
    <t>When loading data into Stage2, duplicates are removed, referential integrity is checked, and lookup tables are used to conform data</t>
  </si>
  <si>
    <t>Additional standard descriptions and or hierarchies/groupings are stored in this databases and imported information are linked to them</t>
  </si>
  <si>
    <t>S1_Import_MM
...</t>
  </si>
  <si>
    <t>S1_Import_MM_Stock_Take
...</t>
  </si>
  <si>
    <t>List of SSIS Package names</t>
  </si>
  <si>
    <t>Data Views</t>
  </si>
  <si>
    <t>AtomicDW</t>
  </si>
  <si>
    <t>AtomicDW is the relational data store for the all the dimension tables and fact tables</t>
  </si>
  <si>
    <t>It also includes views that may be required for OLAP cubes and other BI tools</t>
  </si>
  <si>
    <t>Each batch represents a set of data for a specific Year and month</t>
  </si>
  <si>
    <t>S2_Import</t>
  </si>
  <si>
    <t>S2_Import_MM
...</t>
  </si>
  <si>
    <t>S2_Import_MM_Material
S2_Import_MM_Stock_Take
...</t>
  </si>
  <si>
    <t>DW_Import</t>
  </si>
  <si>
    <t>Static Date dimension</t>
  </si>
  <si>
    <t>Custom created Date records</t>
  </si>
  <si>
    <t>Example</t>
  </si>
  <si>
    <t>Latest Import Batch action (Insert)</t>
  </si>
  <si>
    <t>FK to Import_Batch_Process_Task</t>
  </si>
  <si>
    <t>V_Min_Year_Key_Per_Year</t>
  </si>
  <si>
    <t>Lists the smallest Year_Key for each Year in the Date Dimension</t>
  </si>
  <si>
    <t>Error Files</t>
  </si>
  <si>
    <t>\ErrorFiles\</t>
  </si>
  <si>
    <t>&lt;Package name&gt;_&lt;import batch&gt;_Errors.csv</t>
  </si>
  <si>
    <t>DB Backup files</t>
  </si>
  <si>
    <t>\DBBackup\</t>
  </si>
  <si>
    <t>(system generated)</t>
  </si>
  <si>
    <t>Dimension Table name:</t>
  </si>
  <si>
    <t>&lt;Dimension name&gt;</t>
  </si>
  <si>
    <t>Fact Table name:</t>
  </si>
  <si>
    <t>&lt;Fact table name&gt;_Fact</t>
  </si>
  <si>
    <t>SSIS Packages</t>
  </si>
  <si>
    <t>Overall batch import:</t>
  </si>
  <si>
    <t>Batch_Import</t>
  </si>
  <si>
    <t>Import into a database:</t>
  </si>
  <si>
    <t>&lt;database abbreviation&gt;_Import</t>
  </si>
  <si>
    <t>Abbreviation:</t>
  </si>
  <si>
    <t>S1</t>
  </si>
  <si>
    <t>S2</t>
  </si>
  <si>
    <t>DW</t>
  </si>
  <si>
    <t>Import a business process:</t>
  </si>
  <si>
    <t>&lt;database abbreviation&gt;_Import_&lt;business process abbreviation&gt;</t>
  </si>
  <si>
    <t>Import a target table:</t>
  </si>
  <si>
    <t>&lt;database abbreviation&gt;_Import_&lt;business process abbreviation&gt;_&lt;target table name&gt;</t>
  </si>
  <si>
    <t>Data warehouse</t>
  </si>
  <si>
    <t>(relational)</t>
  </si>
  <si>
    <t>Process metadata</t>
  </si>
  <si>
    <t>auto generated ID for the import batch process task</t>
  </si>
  <si>
    <t>Relates to one batch of data for a specific year and month</t>
  </si>
  <si>
    <t>Relates to importing data for a specific business process</t>
  </si>
  <si>
    <t>Relates to importing data for specific target table</t>
  </si>
  <si>
    <t>IBPT_Dim_Historical</t>
  </si>
  <si>
    <t>number of historical (type 2) records inserted - only in data warehouse</t>
  </si>
  <si>
    <t>IBPT_Dim_Changing</t>
  </si>
  <si>
    <t>number of changing (type 1) records updated - only in data warehouse</t>
  </si>
  <si>
    <t>IBPT_Dim_New</t>
  </si>
  <si>
    <t>IBPT_Dim_Unchanged</t>
  </si>
  <si>
    <t>number of new dimension records inserted - only in data warehouse</t>
  </si>
  <si>
    <t>number of unchanged dimension records - only in data warehouse</t>
  </si>
  <si>
    <t>IBPT_Dim_Fixed_Errors</t>
  </si>
  <si>
    <t>number of dimension records that have changes in fields specified as Fixed (not suppose to change) - only in data warehouse</t>
  </si>
  <si>
    <t>Week_Of_Year</t>
  </si>
  <si>
    <t>The number of the week of year (1 to 53)</t>
  </si>
  <si>
    <t>DW_Import_..</t>
  </si>
  <si>
    <t>SF_&lt;source file name&gt;</t>
  </si>
  <si>
    <t>(non static)</t>
  </si>
  <si>
    <t>S1_&lt;table_name&gt;</t>
  </si>
  <si>
    <t>S1_V_&lt;viem name&gt;</t>
  </si>
  <si>
    <t>S2_&lt;table_name&gt;</t>
  </si>
  <si>
    <t>S2_V_&lt;view name&gt;</t>
  </si>
  <si>
    <t>V_&lt;view name&gt;</t>
  </si>
  <si>
    <t>Customer_ID</t>
  </si>
  <si>
    <t>Customer_Name</t>
  </si>
  <si>
    <t>Sales source system</t>
  </si>
  <si>
    <t>CustomerID</t>
  </si>
  <si>
    <t>date, yyyy/MM/dd</t>
  </si>
  <si>
    <t>integer, 1 or more digits</t>
  </si>
  <si>
    <t>SF_Customer</t>
  </si>
  <si>
    <t>SF_Customer.csv</t>
  </si>
  <si>
    <t>Sales customer information</t>
  </si>
  <si>
    <t>CustomerName</t>
  </si>
  <si>
    <t>CustomerCategoryID</t>
  </si>
  <si>
    <t>BuyingGroupName</t>
  </si>
  <si>
    <t>CreditLimit</t>
  </si>
  <si>
    <t>AccountOpenedDate</t>
  </si>
  <si>
    <t>Each batch represents a set of data for a specific time period</t>
  </si>
  <si>
    <t>Each batch represents a set of data for a time period</t>
  </si>
  <si>
    <t>text, 50?</t>
  </si>
  <si>
    <t>Source system ID for the Customer</t>
  </si>
  <si>
    <t>Starts with 1</t>
  </si>
  <si>
    <t>Name of the customer</t>
  </si>
  <si>
    <t>integer</t>
  </si>
  <si>
    <t>Source system ID for the Customer category</t>
  </si>
  <si>
    <t>Buying group description</t>
  </si>
  <si>
    <t>Yes, No</t>
  </si>
  <si>
    <t>Credit limit of the customer</t>
  </si>
  <si>
    <t>date the customer account was opened</t>
  </si>
  <si>
    <t>Tailspin Toys (Head Office)</t>
  </si>
  <si>
    <t>Tailspin Toys</t>
  </si>
  <si>
    <t>Abel Tatarescu</t>
  </si>
  <si>
    <t>Customer_Category_ID</t>
  </si>
  <si>
    <t>Customer_Buying_Group_Name</t>
  </si>
  <si>
    <t>Customer_Credit_Limit</t>
  </si>
  <si>
    <t>See Customer category list, starts at 1</t>
  </si>
  <si>
    <t>If empty, then not applicable</t>
  </si>
  <si>
    <t>*No buying group</t>
  </si>
  <si>
    <t>Customer_Account_Opened_Date</t>
  </si>
  <si>
    <t>S1_Customer</t>
  </si>
  <si>
    <t>Fact table template</t>
  </si>
  <si>
    <t>Dimension Template</t>
  </si>
  <si>
    <t>Fact table name</t>
  </si>
  <si>
    <t>One row for each …</t>
  </si>
  <si>
    <t>&lt;Role&gt;_Date_Key</t>
  </si>
  <si>
    <t>…other dimension keys</t>
  </si>
  <si>
    <t>…measures</t>
  </si>
  <si>
    <t>One record for each calendar day. Static dimension (no updates from a source system)</t>
  </si>
  <si>
    <t>Dimension name</t>
  </si>
  <si>
    <t>?_Key</t>
  </si>
  <si>
    <t>?_ID</t>
  </si>
  <si>
    <t>Business Key, source system id</t>
  </si>
  <si>
    <t>..other atttributes</t>
  </si>
  <si>
    <t>Each unique ... is an entity in this dimension. SCD Type  ? / or maybe junk dimension 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</si>
</sst>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1C09]dd\ mmmm\ yyyy;@"/>
    <numFmt numFmtId="166" formatCode="dddd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u/>
      <sz val="11"/>
      <color theme="1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1"/>
      <color rgb="FF0070C0"/>
      <name val="Calibri"/>
      <family val="2"/>
    </font>
    <font>
      <b/>
      <strike/>
      <sz val="11"/>
      <color theme="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</font>
    <font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0.499984740745262"/>
      </left>
      <right style="thin">
        <color theme="4" tint="0.499984740745262"/>
      </right>
      <top style="thin">
        <color theme="4" tint="0.499984740745262"/>
      </top>
      <bottom style="thin">
        <color theme="4" tint="0.499984740745262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3" fillId="4" borderId="0" applyNumberFormat="0" applyBorder="0" applyAlignment="0" applyProtection="0"/>
    <xf numFmtId="0" fontId="8" fillId="0" borderId="0"/>
    <xf numFmtId="0" fontId="9" fillId="0" borderId="0"/>
    <xf numFmtId="0" fontId="3" fillId="7" borderId="0" applyNumberFormat="0" applyBorder="0" applyAlignment="0" applyProtection="0"/>
  </cellStyleXfs>
  <cellXfs count="97">
    <xf numFmtId="0" fontId="0" fillId="0" borderId="0" xfId="0"/>
    <xf numFmtId="0" fontId="4" fillId="0" borderId="0" xfId="3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0" xfId="3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1" fillId="2" borderId="0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2" xfId="0" applyFont="1" applyBorder="1"/>
    <xf numFmtId="0" fontId="5" fillId="0" borderId="0" xfId="0" applyFont="1"/>
    <xf numFmtId="0" fontId="6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1" fillId="4" borderId="0" xfId="4" applyFont="1" applyBorder="1" applyAlignment="1">
      <alignment horizontal="left"/>
    </xf>
    <xf numFmtId="0" fontId="7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2" borderId="0" xfId="1" applyFont="1" applyBorder="1" applyAlignment="1">
      <alignment horizontal="left" vertical="top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6" fillId="0" borderId="0" xfId="0" applyFont="1" applyAlignment="1">
      <alignment vertical="top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0" fillId="6" borderId="0" xfId="0" applyFill="1" applyAlignment="1">
      <alignment horizontal="left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4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14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164" fontId="14" fillId="0" borderId="0" xfId="0" applyNumberFormat="1" applyFont="1" applyAlignment="1">
      <alignment horizontal="left"/>
    </xf>
    <xf numFmtId="0" fontId="9" fillId="0" borderId="0" xfId="6"/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left" vertical="top"/>
    </xf>
    <xf numFmtId="0" fontId="4" fillId="0" borderId="0" xfId="3" applyAlignment="1">
      <alignment horizontal="left" vertical="top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 indent="1"/>
    </xf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left" indent="1"/>
    </xf>
    <xf numFmtId="0" fontId="0" fillId="0" borderId="0" xfId="0" applyAlignment="1">
      <alignment horizontal="left" indent="1"/>
    </xf>
    <xf numFmtId="0" fontId="2" fillId="6" borderId="0" xfId="0" applyFont="1" applyFill="1"/>
    <xf numFmtId="0" fontId="4" fillId="0" borderId="4" xfId="3" applyBorder="1" applyAlignment="1">
      <alignment vertical="center" wrapText="1"/>
    </xf>
    <xf numFmtId="164" fontId="0" fillId="0" borderId="0" xfId="0" applyNumberFormat="1" applyAlignment="1">
      <alignment horizontal="left"/>
    </xf>
    <xf numFmtId="0" fontId="4" fillId="0" borderId="0" xfId="3" applyFill="1"/>
    <xf numFmtId="0" fontId="4" fillId="0" borderId="0" xfId="3" quotePrefix="1" applyFill="1" applyBorder="1" applyAlignment="1">
      <alignment vertical="center"/>
    </xf>
    <xf numFmtId="0" fontId="4" fillId="0" borderId="0" xfId="3" applyFill="1" applyAlignment="1">
      <alignment vertical="top"/>
    </xf>
    <xf numFmtId="14" fontId="0" fillId="0" borderId="0" xfId="0" applyNumberFormat="1" applyAlignment="1">
      <alignment horizontal="left"/>
    </xf>
    <xf numFmtId="0" fontId="10" fillId="0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3" applyFont="1"/>
    <xf numFmtId="0" fontId="8" fillId="0" borderId="0" xfId="5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7" fillId="0" borderId="0" xfId="5" applyFont="1" applyAlignment="1">
      <alignment vertical="top"/>
    </xf>
    <xf numFmtId="0" fontId="16" fillId="0" borderId="0" xfId="0" applyFont="1" applyAlignment="1">
      <alignment horizontal="left" vertical="top"/>
    </xf>
    <xf numFmtId="0" fontId="4" fillId="0" borderId="4" xfId="3" applyFill="1" applyBorder="1" applyAlignment="1">
      <alignment vertical="center"/>
    </xf>
    <xf numFmtId="0" fontId="18" fillId="2" borderId="0" xfId="1" applyFont="1" applyBorder="1" applyAlignment="1">
      <alignment horizontal="left" vertical="top" wrapText="1"/>
    </xf>
    <xf numFmtId="0" fontId="8" fillId="0" borderId="0" xfId="5" applyAlignment="1">
      <alignment vertical="top"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20" fillId="0" borderId="0" xfId="5" applyFont="1" applyAlignment="1">
      <alignment vertical="top"/>
    </xf>
    <xf numFmtId="0" fontId="19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vertical="top" wrapText="1"/>
    </xf>
    <xf numFmtId="0" fontId="22" fillId="0" borderId="0" xfId="5" applyFont="1" applyAlignment="1">
      <alignment vertical="top"/>
    </xf>
    <xf numFmtId="0" fontId="21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/>
    </xf>
    <xf numFmtId="0" fontId="1" fillId="3" borderId="0" xfId="2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7" borderId="1" xfId="7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8">
    <cellStyle name="60% - Accent5" xfId="4" builtinId="48"/>
    <cellStyle name="Accent1" xfId="1" builtinId="29"/>
    <cellStyle name="Accent5" xfId="2" builtinId="45"/>
    <cellStyle name="Accent6" xfId="7" builtinId="49"/>
    <cellStyle name="Hyperlink" xfId="3" builtinId="8"/>
    <cellStyle name="Normal" xfId="0" builtinId="0"/>
    <cellStyle name="Normal 2" xfId="6" xr:uid="{00000000-0005-0000-0000-000006000000}"/>
    <cellStyle name="Normal 3" xfId="5" xr:uid="{00000000-0005-0000-0000-000007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10974318/odrive/Google%20Drive%2010974318/ITRI611/Project/MIS%20Dimensional%20Model.xlsx" TargetMode="External"/><Relationship Id="rId1" Type="http://schemas.openxmlformats.org/officeDocument/2006/relationships/externalLinkPath" Target="/Users/10974318/odrive/Google%20Drive%2010974318/ITRI611/Project/MIS%20Dimensional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s Matrix"/>
      <sheetName val="Organisational Structuring"/>
      <sheetName val="Cesm Assignment"/>
      <sheetName val="Academic Presentation"/>
      <sheetName val="Student Registrations"/>
      <sheetName val="Student Results"/>
      <sheetName val="Student Records"/>
      <sheetName val="School Records"/>
      <sheetName val="Cohort Student Qual Prog"/>
      <sheetName val="Cohort Student Qual"/>
      <sheetName val="Cohort Student"/>
      <sheetName val="Module Cesm Assignment"/>
      <sheetName val="Module Presentation"/>
      <sheetName val="Curriculum Level Structuring"/>
      <sheetName val="Curriculum Structuring"/>
      <sheetName val="Student Learning"/>
      <sheetName val="Student Enrolment Summary"/>
      <sheetName val="Student FTE Enrolment Summary"/>
      <sheetName val="Post Doc Summary"/>
      <sheetName val="Employee_NRF_Summary"/>
      <sheetName val="Employee HEMIS Summary"/>
      <sheetName val="Research Output Summary"/>
      <sheetName val="Employee Assignment"/>
      <sheetName val="Employee HEMIS"/>
      <sheetName val="Employee Timesheet"/>
      <sheetName val="Employee_NRF_Rating"/>
      <sheetName val="Research_Publication_Unit"/>
      <sheetName val="Calendar Day"/>
      <sheetName val="CD Cube"/>
      <sheetName val="Calendar Day Data"/>
      <sheetName val="Calendar Month"/>
      <sheetName val="CM Cube"/>
      <sheetName val="Calendar Year"/>
      <sheetName val="CY Cube"/>
      <sheetName val="Organisational Unit"/>
      <sheetName val="OU Cube"/>
      <sheetName val="Curriculum Level"/>
      <sheetName val="CL Cube"/>
      <sheetName val="Presentation Category"/>
      <sheetName val="PC Cube"/>
      <sheetName val="Residence"/>
      <sheetName val="Academic Result"/>
      <sheetName val="AR Cube"/>
      <sheetName val="Person"/>
      <sheetName val="P Cube"/>
      <sheetName val="Registration Describer"/>
      <sheetName val="RD Cube"/>
      <sheetName val="Biographic Category"/>
      <sheetName val="BC Cube"/>
      <sheetName val="Geographic Region"/>
      <sheetName val="GR Cube"/>
      <sheetName val="Cesm"/>
      <sheetName val="Cesm Cube"/>
      <sheetName val="Cesm data"/>
      <sheetName val="Status"/>
      <sheetName val="S Cube"/>
      <sheetName val="Fact Report Set"/>
      <sheetName val="FRS Cube"/>
      <sheetName val="Module"/>
      <sheetName val="Module_Cube"/>
      <sheetName val="Academic Period"/>
      <sheetName val="AP Cube"/>
      <sheetName val="Language"/>
      <sheetName val="Language Cube"/>
      <sheetName val="Selection Option"/>
      <sheetName val="SO Cube"/>
      <sheetName val="Module Result"/>
      <sheetName val="MR Cube"/>
      <sheetName val="Hierarchy Descriptor"/>
      <sheetName val="HD Cube"/>
      <sheetName val="ELG Cube"/>
      <sheetName val="Position"/>
      <sheetName val="Pos Cube"/>
      <sheetName val="Position_Category"/>
      <sheetName val="PosCat Cube"/>
      <sheetName val="Employment Grade"/>
      <sheetName val="EG Cube"/>
      <sheetName val="Assignment Descriptor"/>
      <sheetName val="AD Cube"/>
      <sheetName val="Appointment Descriptor"/>
      <sheetName val="AppD Cube"/>
      <sheetName val="Education Level Group"/>
      <sheetName val="Hemis Qualification Type"/>
      <sheetName val="Qual Type ranks"/>
      <sheetName val="HQT Cube"/>
      <sheetName val="Assignment Contract_Descriptor"/>
      <sheetName val="ACD Cube"/>
      <sheetName val="IP Enrolment Planned"/>
      <sheetName val="IP Enrolment Actuals"/>
      <sheetName val="IP FTE Projected"/>
      <sheetName val="IP FTE Actuals"/>
      <sheetName val="IP Organisational Unit"/>
      <sheetName val="IP Curriculum Level"/>
      <sheetName val="IP Programme Level"/>
      <sheetName val="IP Module Education Level"/>
      <sheetName val="IP CESM Grouping"/>
      <sheetName val="IP Cycle Year"/>
      <sheetName val="IPCY Cube"/>
      <sheetName val="IP Cycle Year Data"/>
      <sheetName val="NRF Rating Category"/>
      <sheetName val="NRF Rating Cat Cube"/>
      <sheetName val="NRF Rating Summary"/>
      <sheetName val="Publication"/>
      <sheetName val="Publication Cube"/>
      <sheetName val="Research Output Type"/>
      <sheetName val="ROT Cub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6"/>
  <sheetViews>
    <sheetView tabSelected="1" showOutlineSymbols="0" workbookViewId="0">
      <selection activeCell="C1" sqref="C1"/>
    </sheetView>
  </sheetViews>
  <sheetFormatPr defaultRowHeight="14.4" x14ac:dyDescent="0.3"/>
  <cols>
    <col min="1" max="1" width="1.88671875" customWidth="1"/>
    <col min="2" max="2" width="19.6640625" bestFit="1" customWidth="1"/>
    <col min="3" max="3" width="35.5546875" bestFit="1" customWidth="1"/>
    <col min="4" max="4" width="12.6640625" bestFit="1" customWidth="1"/>
  </cols>
  <sheetData>
    <row r="1" spans="2:4" x14ac:dyDescent="0.3">
      <c r="B1" s="1" t="s">
        <v>132</v>
      </c>
    </row>
    <row r="2" spans="2:4" x14ac:dyDescent="0.3">
      <c r="B2" s="1" t="s">
        <v>77</v>
      </c>
    </row>
    <row r="3" spans="2:4" x14ac:dyDescent="0.3">
      <c r="B3" s="1"/>
    </row>
    <row r="4" spans="2:4" x14ac:dyDescent="0.3">
      <c r="B4" s="1" t="s">
        <v>175</v>
      </c>
      <c r="C4" s="17" t="s">
        <v>78</v>
      </c>
    </row>
    <row r="5" spans="2:4" x14ac:dyDescent="0.3">
      <c r="C5" s="63" t="s">
        <v>43</v>
      </c>
      <c r="D5" s="1"/>
    </row>
    <row r="6" spans="2:4" x14ac:dyDescent="0.3">
      <c r="C6" s="63"/>
    </row>
    <row r="8" spans="2:4" x14ac:dyDescent="0.3">
      <c r="C8" s="17" t="s">
        <v>40</v>
      </c>
    </row>
    <row r="9" spans="2:4" x14ac:dyDescent="0.3">
      <c r="C9" s="64"/>
    </row>
    <row r="10" spans="2:4" x14ac:dyDescent="0.3">
      <c r="C10" s="64"/>
    </row>
    <row r="11" spans="2:4" x14ac:dyDescent="0.3">
      <c r="B11" s="1" t="s">
        <v>0</v>
      </c>
      <c r="C11" s="65"/>
    </row>
    <row r="12" spans="2:4" x14ac:dyDescent="0.3">
      <c r="C12" s="5" t="s">
        <v>246</v>
      </c>
    </row>
    <row r="13" spans="2:4" x14ac:dyDescent="0.3">
      <c r="C13" s="63"/>
    </row>
    <row r="14" spans="2:4" x14ac:dyDescent="0.3">
      <c r="C14" s="63"/>
    </row>
    <row r="15" spans="2:4" x14ac:dyDescent="0.3">
      <c r="C15" s="63"/>
    </row>
    <row r="16" spans="2:4" x14ac:dyDescent="0.3">
      <c r="B16" s="1" t="s">
        <v>145</v>
      </c>
      <c r="C16" t="s">
        <v>165</v>
      </c>
    </row>
    <row r="17" spans="2:3" x14ac:dyDescent="0.3">
      <c r="C17" s="63" t="s">
        <v>276</v>
      </c>
    </row>
    <row r="18" spans="2:3" x14ac:dyDescent="0.3">
      <c r="C18" s="63"/>
    </row>
    <row r="19" spans="2:3" x14ac:dyDescent="0.3">
      <c r="C19" s="63"/>
    </row>
    <row r="20" spans="2:3" x14ac:dyDescent="0.3">
      <c r="B20" s="1" t="s">
        <v>167</v>
      </c>
      <c r="C20" t="s">
        <v>165</v>
      </c>
    </row>
    <row r="21" spans="2:3" x14ac:dyDescent="0.3">
      <c r="C21" s="1"/>
    </row>
    <row r="22" spans="2:3" x14ac:dyDescent="0.3">
      <c r="C22" s="63"/>
    </row>
    <row r="23" spans="2:3" x14ac:dyDescent="0.3">
      <c r="C23" s="63"/>
    </row>
    <row r="24" spans="2:3" x14ac:dyDescent="0.3">
      <c r="C24" s="63"/>
    </row>
    <row r="25" spans="2:3" x14ac:dyDescent="0.3">
      <c r="C25" s="63"/>
    </row>
    <row r="26" spans="2:3" x14ac:dyDescent="0.3">
      <c r="B26" s="1" t="s">
        <v>215</v>
      </c>
    </row>
  </sheetData>
  <hyperlinks>
    <hyperlink ref="B11" location="'Source Files'!A1" display="Source Files" xr:uid="{00000000-0004-0000-0000-000000000000}"/>
    <hyperlink ref="B16" location="Stage1!A1" display="Stage1" xr:uid="{00000000-0004-0000-0000-000001000000}"/>
    <hyperlink ref="B2" location="'Bus Matrix'!A1" display="Bus Matrix" xr:uid="{00000000-0004-0000-0000-000002000000}"/>
    <hyperlink ref="C5" location="Date!A1" display="Date" xr:uid="{00000000-0004-0000-0000-000003000000}"/>
    <hyperlink ref="B20" location="Stage2!A1" display="Stage2 database" xr:uid="{00000000-0004-0000-0000-000004000000}"/>
    <hyperlink ref="B1" location="'Naming Conventions'!A1" display="Naming Conventions" xr:uid="{00000000-0004-0000-0000-000006000000}"/>
    <hyperlink ref="B4" location="AtomicDW!A1" display="AtomicDW" xr:uid="{00000000-0004-0000-0000-00000F000000}"/>
    <hyperlink ref="B26" location="'Process Metadata'!A1" display="Metadata tables" xr:uid="{00000000-0004-0000-0000-000010000000}"/>
    <hyperlink ref="C12" location="SF_Customer!A1" display="SF_Customer" xr:uid="{778FCE02-3057-4A9E-BB60-FC8D68DCAA17}"/>
    <hyperlink ref="C17" location="S1_Customer!A1" display="S1_Customer" xr:uid="{ABBE84D5-FC69-4F56-B4CE-350190DC8A4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showOutlineSymbols="0" workbookViewId="0"/>
  </sheetViews>
  <sheetFormatPr defaultRowHeight="14.4" x14ac:dyDescent="0.3"/>
  <cols>
    <col min="1" max="1" width="18.44140625" bestFit="1" customWidth="1"/>
    <col min="2" max="2" width="28.109375" style="52" bestFit="1" customWidth="1"/>
    <col min="3" max="3" width="62.33203125" bestFit="1" customWidth="1"/>
    <col min="4" max="4" width="26.44140625" customWidth="1"/>
  </cols>
  <sheetData>
    <row r="1" spans="1:3" x14ac:dyDescent="0.3">
      <c r="A1" s="5" t="s">
        <v>5</v>
      </c>
    </row>
    <row r="3" spans="1:3" s="53" customFormat="1" x14ac:dyDescent="0.3">
      <c r="A3" s="53" t="s">
        <v>0</v>
      </c>
      <c r="B3" s="54" t="s">
        <v>144</v>
      </c>
      <c r="C3" s="55" t="s">
        <v>152</v>
      </c>
    </row>
    <row r="4" spans="1:3" s="56" customFormat="1" x14ac:dyDescent="0.3">
      <c r="A4" s="56" t="s">
        <v>234</v>
      </c>
      <c r="B4" s="57" t="s">
        <v>115</v>
      </c>
      <c r="C4" s="58" t="s">
        <v>233</v>
      </c>
    </row>
    <row r="6" spans="1:3" s="53" customFormat="1" x14ac:dyDescent="0.3">
      <c r="A6" s="53" t="s">
        <v>190</v>
      </c>
      <c r="B6" s="54" t="s">
        <v>144</v>
      </c>
      <c r="C6" s="55" t="s">
        <v>191</v>
      </c>
    </row>
    <row r="7" spans="1:3" s="56" customFormat="1" x14ac:dyDescent="0.3">
      <c r="B7" s="57" t="s">
        <v>115</v>
      </c>
      <c r="C7" s="58" t="s">
        <v>192</v>
      </c>
    </row>
    <row r="9" spans="1:3" s="53" customFormat="1" x14ac:dyDescent="0.3">
      <c r="A9" s="53" t="s">
        <v>193</v>
      </c>
      <c r="B9" s="54" t="s">
        <v>144</v>
      </c>
      <c r="C9" s="55" t="s">
        <v>194</v>
      </c>
    </row>
    <row r="10" spans="1:3" s="56" customFormat="1" x14ac:dyDescent="0.3">
      <c r="B10" s="57" t="s">
        <v>115</v>
      </c>
      <c r="C10" s="58" t="s">
        <v>195</v>
      </c>
    </row>
    <row r="12" spans="1:3" s="53" customFormat="1" x14ac:dyDescent="0.3">
      <c r="A12" s="53" t="s">
        <v>145</v>
      </c>
      <c r="B12" s="54" t="s">
        <v>146</v>
      </c>
      <c r="C12" s="55" t="s">
        <v>147</v>
      </c>
    </row>
    <row r="13" spans="1:3" x14ac:dyDescent="0.3">
      <c r="B13" s="52" t="s">
        <v>205</v>
      </c>
      <c r="C13" s="59" t="s">
        <v>206</v>
      </c>
    </row>
    <row r="14" spans="1:3" x14ac:dyDescent="0.3">
      <c r="B14" s="52" t="s">
        <v>148</v>
      </c>
      <c r="C14" s="59" t="s">
        <v>235</v>
      </c>
    </row>
    <row r="15" spans="1:3" s="56" customFormat="1" x14ac:dyDescent="0.3">
      <c r="B15" s="57" t="s">
        <v>153</v>
      </c>
      <c r="C15" s="58" t="s">
        <v>236</v>
      </c>
    </row>
    <row r="17" spans="1:3" s="53" customFormat="1" x14ac:dyDescent="0.3">
      <c r="A17" s="53" t="s">
        <v>167</v>
      </c>
      <c r="B17" s="54" t="s">
        <v>146</v>
      </c>
      <c r="C17" s="55" t="s">
        <v>166</v>
      </c>
    </row>
    <row r="18" spans="1:3" x14ac:dyDescent="0.3">
      <c r="B18" s="52" t="s">
        <v>205</v>
      </c>
      <c r="C18" s="59" t="s">
        <v>207</v>
      </c>
    </row>
    <row r="19" spans="1:3" x14ac:dyDescent="0.3">
      <c r="B19" s="52" t="s">
        <v>148</v>
      </c>
      <c r="C19" s="59" t="s">
        <v>237</v>
      </c>
    </row>
    <row r="20" spans="1:3" s="56" customFormat="1" x14ac:dyDescent="0.3">
      <c r="B20" s="57" t="s">
        <v>153</v>
      </c>
      <c r="C20" s="58" t="s">
        <v>238</v>
      </c>
    </row>
    <row r="22" spans="1:3" s="53" customFormat="1" x14ac:dyDescent="0.3">
      <c r="A22" s="53" t="s">
        <v>213</v>
      </c>
      <c r="B22" s="54" t="s">
        <v>146</v>
      </c>
      <c r="C22" s="55" t="s">
        <v>175</v>
      </c>
    </row>
    <row r="23" spans="1:3" x14ac:dyDescent="0.3">
      <c r="A23" t="s">
        <v>214</v>
      </c>
      <c r="B23" s="52" t="s">
        <v>205</v>
      </c>
      <c r="C23" s="59" t="s">
        <v>208</v>
      </c>
    </row>
    <row r="24" spans="1:3" x14ac:dyDescent="0.3">
      <c r="B24" s="52" t="s">
        <v>196</v>
      </c>
      <c r="C24" s="59" t="s">
        <v>197</v>
      </c>
    </row>
    <row r="25" spans="1:3" x14ac:dyDescent="0.3">
      <c r="B25" s="52" t="s">
        <v>198</v>
      </c>
      <c r="C25" s="59" t="s">
        <v>199</v>
      </c>
    </row>
    <row r="26" spans="1:3" s="56" customFormat="1" x14ac:dyDescent="0.3">
      <c r="B26" s="57" t="s">
        <v>153</v>
      </c>
      <c r="C26" s="58" t="s">
        <v>239</v>
      </c>
    </row>
    <row r="28" spans="1:3" s="53" customFormat="1" x14ac:dyDescent="0.3">
      <c r="A28" s="53" t="s">
        <v>200</v>
      </c>
      <c r="B28" s="54" t="s">
        <v>201</v>
      </c>
      <c r="C28" s="55" t="s">
        <v>202</v>
      </c>
    </row>
    <row r="29" spans="1:3" x14ac:dyDescent="0.3">
      <c r="B29" s="52" t="s">
        <v>203</v>
      </c>
      <c r="C29" s="59" t="s">
        <v>204</v>
      </c>
    </row>
    <row r="30" spans="1:3" x14ac:dyDescent="0.3">
      <c r="B30" s="52" t="s">
        <v>209</v>
      </c>
      <c r="C30" s="59" t="s">
        <v>210</v>
      </c>
    </row>
    <row r="31" spans="1:3" s="56" customFormat="1" x14ac:dyDescent="0.3">
      <c r="B31" s="57" t="s">
        <v>211</v>
      </c>
      <c r="C31" s="58" t="s">
        <v>212</v>
      </c>
    </row>
  </sheetData>
  <hyperlinks>
    <hyperlink ref="A1" location="Index!A1" display="Index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"/>
  <sheetViews>
    <sheetView showOutlineSymbols="0" zoomScale="130" zoomScaleNormal="130" workbookViewId="0">
      <selection activeCell="E19" sqref="E19"/>
    </sheetView>
  </sheetViews>
  <sheetFormatPr defaultColWidth="9.109375" defaultRowHeight="14.4" x14ac:dyDescent="0.3"/>
  <cols>
    <col min="1" max="1" width="8.88671875" style="18" bestFit="1" customWidth="1"/>
    <col min="2" max="2" width="13" style="18" customWidth="1"/>
    <col min="3" max="3" width="16.88671875" style="18" bestFit="1" customWidth="1"/>
    <col min="4" max="4" width="18" style="18" customWidth="1"/>
    <col min="5" max="5" width="22.109375" style="18" bestFit="1" customWidth="1"/>
    <col min="6" max="6" width="11.33203125" style="19" bestFit="1" customWidth="1"/>
    <col min="7" max="7" width="11.109375" style="18" bestFit="1" customWidth="1"/>
    <col min="8" max="16384" width="9.109375" style="18"/>
  </cols>
  <sheetData>
    <row r="1" spans="2:7" ht="37.5" customHeight="1" x14ac:dyDescent="0.3">
      <c r="B1" s="5" t="s">
        <v>5</v>
      </c>
    </row>
    <row r="2" spans="2:7" ht="28.8" x14ac:dyDescent="0.3">
      <c r="E2" s="20" t="s">
        <v>113</v>
      </c>
      <c r="F2" s="67" t="s">
        <v>43</v>
      </c>
      <c r="G2" s="61" t="s">
        <v>278</v>
      </c>
    </row>
    <row r="3" spans="2:7" ht="32.85" customHeight="1" x14ac:dyDescent="0.3">
      <c r="E3" s="20" t="s">
        <v>38</v>
      </c>
      <c r="F3" s="69"/>
      <c r="G3" s="68"/>
    </row>
    <row r="4" spans="2:7" ht="28.8" x14ac:dyDescent="0.3">
      <c r="B4" s="21" t="s">
        <v>39</v>
      </c>
      <c r="C4" s="21" t="s">
        <v>114</v>
      </c>
      <c r="D4" s="21" t="s">
        <v>41</v>
      </c>
      <c r="E4" s="22" t="s">
        <v>42</v>
      </c>
      <c r="F4" s="45"/>
      <c r="G4" s="68"/>
    </row>
    <row r="5" spans="2:7" x14ac:dyDescent="0.3">
      <c r="B5" s="70"/>
      <c r="C5" s="79" t="s">
        <v>277</v>
      </c>
      <c r="D5" s="70"/>
      <c r="E5" s="71"/>
      <c r="F5" s="72"/>
      <c r="G5" s="72"/>
    </row>
  </sheetData>
  <hyperlinks>
    <hyperlink ref="F2" location="Date!A1" display="Date" xr:uid="{00000000-0004-0000-0200-000000000000}"/>
    <hyperlink ref="B1" location="Index!A1" display="Index" xr:uid="{00000000-0004-0000-0200-000003000000}"/>
    <hyperlink ref="C5" location="'Fact table template'!A1" display="Fact table template" xr:uid="{7FDAA1D9-EAC3-4FEF-8916-BF2AA3E1BC31}"/>
  </hyperlinks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4"/>
  <sheetViews>
    <sheetView showOutlineSymbols="0" workbookViewId="0">
      <selection activeCell="B1" sqref="B1"/>
    </sheetView>
  </sheetViews>
  <sheetFormatPr defaultRowHeight="14.4" x14ac:dyDescent="0.3"/>
  <cols>
    <col min="1" max="1" width="31.44140625" customWidth="1"/>
    <col min="2" max="2" width="58.33203125" bestFit="1" customWidth="1"/>
    <col min="3" max="3" width="33.88671875" customWidth="1"/>
    <col min="4" max="4" width="11.44140625" bestFit="1" customWidth="1"/>
    <col min="5" max="5" width="23.109375" customWidth="1"/>
    <col min="6" max="6" width="19" bestFit="1" customWidth="1"/>
    <col min="7" max="7" width="17.88671875" customWidth="1"/>
  </cols>
  <sheetData>
    <row r="1" spans="1:6" ht="18" x14ac:dyDescent="0.3">
      <c r="A1" s="5" t="s">
        <v>5</v>
      </c>
    </row>
    <row r="2" spans="1:6" ht="18" x14ac:dyDescent="0.3">
      <c r="A2" t="s">
        <v>176</v>
      </c>
    </row>
    <row r="3" spans="1:6" ht="18" x14ac:dyDescent="0.3">
      <c r="A3" t="s">
        <v>177</v>
      </c>
    </row>
    <row r="4" spans="1:6" ht="18" x14ac:dyDescent="0.3">
      <c r="A4" t="s">
        <v>178</v>
      </c>
    </row>
    <row r="7" spans="1:6" ht="18" x14ac:dyDescent="0.3">
      <c r="A7" s="92" t="s">
        <v>14</v>
      </c>
      <c r="B7" s="92"/>
      <c r="C7" s="92"/>
      <c r="D7" s="92"/>
      <c r="E7" s="92"/>
      <c r="F7" s="92"/>
    </row>
    <row r="8" spans="1:6" ht="18" x14ac:dyDescent="0.3">
      <c r="A8" s="11" t="s">
        <v>21</v>
      </c>
      <c r="B8" s="11" t="s">
        <v>7</v>
      </c>
      <c r="C8" s="11" t="s">
        <v>2</v>
      </c>
      <c r="D8" s="11" t="s">
        <v>22</v>
      </c>
      <c r="E8" s="6" t="s">
        <v>6</v>
      </c>
      <c r="F8" s="11"/>
    </row>
    <row r="9" spans="1:6" ht="18" x14ac:dyDescent="0.3">
      <c r="A9" s="1" t="s">
        <v>43</v>
      </c>
      <c r="B9" t="s">
        <v>183</v>
      </c>
      <c r="C9" s="1" t="s">
        <v>184</v>
      </c>
      <c r="D9" t="s">
        <v>35</v>
      </c>
      <c r="E9" s="47" t="s">
        <v>43</v>
      </c>
    </row>
    <row r="10" spans="1:6" ht="18" x14ac:dyDescent="0.3">
      <c r="A10" s="73"/>
      <c r="C10" s="1"/>
      <c r="E10" s="47"/>
    </row>
    <row r="11" spans="1:6" ht="18" x14ac:dyDescent="0.3">
      <c r="A11" s="73"/>
      <c r="C11" s="1"/>
      <c r="E11" s="47"/>
    </row>
    <row r="13" spans="1:6" ht="18.75" thickBot="1" x14ac:dyDescent="0.35">
      <c r="A13" s="92" t="s">
        <v>174</v>
      </c>
      <c r="B13" s="92"/>
      <c r="C13" s="92"/>
      <c r="D13" s="92"/>
      <c r="E13" s="92"/>
      <c r="F13" s="92"/>
    </row>
    <row r="14" spans="1:6" ht="18.75" thickTop="1" x14ac:dyDescent="0.3">
      <c r="A14" s="11" t="s">
        <v>21</v>
      </c>
      <c r="B14" s="11" t="s">
        <v>7</v>
      </c>
      <c r="C14" s="93" t="s">
        <v>164</v>
      </c>
      <c r="D14" s="93"/>
      <c r="E14" s="93"/>
      <c r="F14" s="11"/>
    </row>
    <row r="15" spans="1:6" ht="18" x14ac:dyDescent="0.3">
      <c r="A15" t="s">
        <v>188</v>
      </c>
      <c r="B15" t="s">
        <v>189</v>
      </c>
      <c r="C15" s="1" t="s">
        <v>43</v>
      </c>
    </row>
    <row r="16" spans="1:6" ht="18" x14ac:dyDescent="0.3">
      <c r="C16" s="1"/>
    </row>
    <row r="17" spans="1:6" x14ac:dyDescent="0.3">
      <c r="C17" s="1"/>
    </row>
    <row r="18" spans="1:6" x14ac:dyDescent="0.3">
      <c r="B18" s="2"/>
    </row>
    <row r="20" spans="1:6" ht="15" thickBot="1" x14ac:dyDescent="0.35">
      <c r="A20" s="94" t="s">
        <v>24</v>
      </c>
      <c r="B20" s="94"/>
      <c r="C20" s="94"/>
      <c r="D20" s="94"/>
      <c r="E20" s="94"/>
      <c r="F20" s="94"/>
    </row>
    <row r="21" spans="1:6" ht="15" thickTop="1" x14ac:dyDescent="0.3">
      <c r="A21" s="8" t="s">
        <v>21</v>
      </c>
      <c r="B21" s="8" t="s">
        <v>7</v>
      </c>
      <c r="C21" s="93" t="s">
        <v>173</v>
      </c>
      <c r="D21" s="93"/>
      <c r="E21" s="93"/>
      <c r="F21" s="8" t="s">
        <v>23</v>
      </c>
    </row>
    <row r="22" spans="1:6" x14ac:dyDescent="0.3">
      <c r="A22" s="1" t="s">
        <v>25</v>
      </c>
      <c r="B22" t="s">
        <v>33</v>
      </c>
      <c r="C22" t="s">
        <v>182</v>
      </c>
      <c r="F22" t="s">
        <v>26</v>
      </c>
    </row>
    <row r="23" spans="1:6" x14ac:dyDescent="0.3">
      <c r="A23" s="1" t="s">
        <v>27</v>
      </c>
      <c r="B23" t="s">
        <v>28</v>
      </c>
      <c r="C23" s="2" t="s">
        <v>232</v>
      </c>
      <c r="F23" t="s">
        <v>29</v>
      </c>
    </row>
    <row r="24" spans="1:6" x14ac:dyDescent="0.3">
      <c r="A24" s="1" t="s">
        <v>30</v>
      </c>
      <c r="B24" t="s">
        <v>31</v>
      </c>
      <c r="C24" s="2" t="s">
        <v>232</v>
      </c>
      <c r="F24" t="s">
        <v>32</v>
      </c>
    </row>
  </sheetData>
  <mergeCells count="5">
    <mergeCell ref="A7:F7"/>
    <mergeCell ref="A13:F13"/>
    <mergeCell ref="C14:E14"/>
    <mergeCell ref="A20:F20"/>
    <mergeCell ref="C21:E21"/>
  </mergeCells>
  <hyperlinks>
    <hyperlink ref="A1" location="Index!A1" display="Index" xr:uid="{00000000-0004-0000-0B00-000000000000}"/>
    <hyperlink ref="A22" location="'Process Metadata'!A5" display="Import_Batch" xr:uid="{00000000-0004-0000-0B00-000001000000}"/>
    <hyperlink ref="A23" location="'Process Metadata'!A16" display="Import_Batch_Process" xr:uid="{00000000-0004-0000-0B00-000002000000}"/>
    <hyperlink ref="A24" location="'Process Metadata'!A25" display="Import_Batch_Process_Task" xr:uid="{00000000-0004-0000-0B00-000003000000}"/>
    <hyperlink ref="A9" location="Date!A1" display="Date!A1" xr:uid="{00000000-0004-0000-0B00-000004000000}"/>
    <hyperlink ref="C9" location="'Date records'!A1" display="Custom created Date records" xr:uid="{00000000-0004-0000-0B00-000005000000}"/>
    <hyperlink ref="C15" location="Date!A1" display="Date" xr:uid="{8DCD3C17-CC18-4147-9789-42D78458196C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99"/>
  </sheetPr>
  <dimension ref="A1:H19"/>
  <sheetViews>
    <sheetView showOutlineSymbols="0" zoomScale="115" zoomScaleNormal="115" workbookViewId="0">
      <selection activeCell="B1" sqref="B1"/>
    </sheetView>
  </sheetViews>
  <sheetFormatPr defaultColWidth="21.5546875" defaultRowHeight="14.4" x14ac:dyDescent="0.3"/>
  <cols>
    <col min="1" max="1" width="21" style="3" bestFit="1" customWidth="1"/>
    <col min="2" max="2" width="14.5546875" style="3" customWidth="1"/>
    <col min="3" max="3" width="9.33203125" style="3" customWidth="1"/>
    <col min="4" max="4" width="30.21875" style="3" bestFit="1" customWidth="1"/>
    <col min="5" max="5" width="8" style="3" customWidth="1"/>
    <col min="6" max="6" width="17.21875" style="3" customWidth="1"/>
    <col min="7" max="7" width="12.6640625" style="3" customWidth="1"/>
    <col min="8" max="8" width="70.5546875" style="3" customWidth="1"/>
    <col min="9" max="16384" width="21.5546875" style="3"/>
  </cols>
  <sheetData>
    <row r="1" spans="1:8" ht="18" x14ac:dyDescent="0.3">
      <c r="A1" s="5" t="s">
        <v>5</v>
      </c>
    </row>
    <row r="2" spans="1:8" ht="18" x14ac:dyDescent="0.3">
      <c r="A2" s="6" t="s">
        <v>115</v>
      </c>
      <c r="B2" s="6" t="s">
        <v>279</v>
      </c>
    </row>
    <row r="3" spans="1:8" x14ac:dyDescent="0.3">
      <c r="A3" s="6" t="s">
        <v>44</v>
      </c>
      <c r="B3" s="23" t="s">
        <v>280</v>
      </c>
      <c r="C3" s="23"/>
      <c r="D3" s="23"/>
      <c r="E3" s="23"/>
      <c r="F3" s="23"/>
      <c r="G3" s="23"/>
      <c r="H3" s="23"/>
    </row>
    <row r="4" spans="1:8" ht="18" x14ac:dyDescent="0.3">
      <c r="D4" s="4"/>
    </row>
    <row r="5" spans="1:8" ht="36" x14ac:dyDescent="0.3">
      <c r="A5" s="24" t="s">
        <v>15</v>
      </c>
      <c r="B5" s="24" t="s">
        <v>16</v>
      </c>
      <c r="C5" s="24" t="s">
        <v>130</v>
      </c>
      <c r="D5" s="24" t="s">
        <v>7</v>
      </c>
      <c r="E5" s="24" t="s">
        <v>45</v>
      </c>
      <c r="F5" s="24" t="s">
        <v>46</v>
      </c>
      <c r="G5" s="24" t="s">
        <v>17</v>
      </c>
      <c r="H5" s="24" t="s">
        <v>50</v>
      </c>
    </row>
    <row r="6" spans="1:8" x14ac:dyDescent="0.3">
      <c r="A6" s="3" t="s">
        <v>281</v>
      </c>
      <c r="B6" s="4" t="s">
        <v>20</v>
      </c>
      <c r="C6" s="3" t="s">
        <v>131</v>
      </c>
      <c r="D6" s="81"/>
      <c r="E6" s="6"/>
      <c r="F6" s="5" t="s">
        <v>43</v>
      </c>
      <c r="G6" s="23">
        <v>20240101</v>
      </c>
    </row>
    <row r="7" spans="1:8" x14ac:dyDescent="0.3">
      <c r="A7" s="3" t="s">
        <v>282</v>
      </c>
      <c r="B7" s="4"/>
      <c r="D7" s="74"/>
      <c r="E7" s="6"/>
      <c r="F7" s="1"/>
      <c r="G7" s="23"/>
    </row>
    <row r="8" spans="1:8" x14ac:dyDescent="0.3">
      <c r="B8" s="4"/>
      <c r="D8" s="74"/>
      <c r="F8" s="5"/>
      <c r="G8" s="23"/>
    </row>
    <row r="9" spans="1:8" s="6" customFormat="1" x14ac:dyDescent="0.3">
      <c r="A9" s="3"/>
      <c r="B9"/>
      <c r="C9"/>
      <c r="D9" s="74"/>
      <c r="E9" s="3"/>
      <c r="F9"/>
      <c r="G9" s="23"/>
      <c r="H9" s="3"/>
    </row>
    <row r="10" spans="1:8" s="75" customFormat="1" x14ac:dyDescent="0.3">
      <c r="A10" s="75" t="s">
        <v>283</v>
      </c>
      <c r="B10" s="76"/>
      <c r="D10" s="77"/>
      <c r="G10" s="78"/>
    </row>
    <row r="11" spans="1:8" s="75" customFormat="1" x14ac:dyDescent="0.3">
      <c r="A11" s="86"/>
      <c r="B11" s="87"/>
      <c r="C11" s="86"/>
      <c r="D11" s="88"/>
      <c r="E11" s="86"/>
      <c r="F11" s="86"/>
      <c r="G11" s="89"/>
      <c r="H11" s="86"/>
    </row>
    <row r="12" spans="1:8" s="82" customFormat="1" x14ac:dyDescent="0.3">
      <c r="B12" s="83"/>
      <c r="D12" s="84"/>
      <c r="G12" s="85"/>
    </row>
    <row r="13" spans="1:8" s="75" customFormat="1" x14ac:dyDescent="0.3">
      <c r="B13" s="76"/>
      <c r="D13" s="77"/>
      <c r="G13" s="78"/>
    </row>
    <row r="14" spans="1:8" s="34" customFormat="1" x14ac:dyDescent="0.3">
      <c r="A14" s="34" t="s">
        <v>127</v>
      </c>
      <c r="B14" s="34" t="s">
        <v>63</v>
      </c>
      <c r="C14" s="36" t="s">
        <v>131</v>
      </c>
      <c r="D14" s="35" t="s">
        <v>186</v>
      </c>
      <c r="F14" s="36"/>
      <c r="G14" s="36" t="s">
        <v>129</v>
      </c>
      <c r="H14" s="34" t="s">
        <v>120</v>
      </c>
    </row>
    <row r="15" spans="1:8" s="34" customFormat="1" x14ac:dyDescent="0.3">
      <c r="A15" s="34" t="s">
        <v>19</v>
      </c>
      <c r="B15" s="34" t="s">
        <v>20</v>
      </c>
      <c r="C15" s="36" t="s">
        <v>131</v>
      </c>
      <c r="D15" s="35" t="s">
        <v>126</v>
      </c>
      <c r="F15" s="51" t="s">
        <v>30</v>
      </c>
      <c r="G15" s="36">
        <v>1</v>
      </c>
      <c r="H15" s="34" t="s">
        <v>120</v>
      </c>
    </row>
    <row r="16" spans="1:8" s="34" customFormat="1" x14ac:dyDescent="0.3">
      <c r="C16" s="36"/>
      <c r="D16" s="35"/>
      <c r="F16" s="51"/>
      <c r="G16" s="36"/>
    </row>
    <row r="17" spans="1:7" s="34" customFormat="1" x14ac:dyDescent="0.3">
      <c r="C17" s="36"/>
      <c r="D17" s="35"/>
      <c r="F17" s="51"/>
      <c r="G17" s="36"/>
    </row>
    <row r="18" spans="1:7" x14ac:dyDescent="0.3">
      <c r="A18" s="6"/>
    </row>
    <row r="19" spans="1:7" s="37" customFormat="1" x14ac:dyDescent="0.3">
      <c r="D19" s="38"/>
    </row>
  </sheetData>
  <hyperlinks>
    <hyperlink ref="A1" location="Index!A1" display="Index" xr:uid="{00000000-0004-0000-1000-000000000000}"/>
    <hyperlink ref="F6" location="Date!A1" display="Date" xr:uid="{00000000-0004-0000-1000-000001000000}"/>
    <hyperlink ref="F15" location="'Process Metadata'!A25" display="Import_Batch_Process_Task" xr:uid="{00000000-0004-0000-1000-000004000000}"/>
  </hyperlinks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K13"/>
  <sheetViews>
    <sheetView showOutlineSymbols="0" zoomScale="130" zoomScaleNormal="130" workbookViewId="0">
      <selection activeCell="B1" sqref="B1"/>
    </sheetView>
  </sheetViews>
  <sheetFormatPr defaultColWidth="44.109375" defaultRowHeight="14.4" x14ac:dyDescent="0.3"/>
  <cols>
    <col min="1" max="1" width="15.21875" bestFit="1" customWidth="1"/>
    <col min="2" max="2" width="14.6640625" customWidth="1"/>
    <col min="3" max="3" width="9" bestFit="1" customWidth="1"/>
    <col min="4" max="4" width="42.33203125" bestFit="1" customWidth="1"/>
    <col min="5" max="5" width="5" bestFit="1" customWidth="1"/>
    <col min="6" max="6" width="5.21875" bestFit="1" customWidth="1"/>
    <col min="7" max="7" width="8.88671875" style="10" bestFit="1" customWidth="1"/>
    <col min="8" max="8" width="16.33203125" style="10" bestFit="1" customWidth="1"/>
    <col min="9" max="9" width="16.88671875" bestFit="1" customWidth="1"/>
    <col min="10" max="10" width="11.33203125" bestFit="1" customWidth="1"/>
    <col min="11" max="11" width="11.77734375" bestFit="1" customWidth="1"/>
  </cols>
  <sheetData>
    <row r="1" spans="1:11" ht="18" x14ac:dyDescent="0.3">
      <c r="A1" s="5" t="s">
        <v>5</v>
      </c>
    </row>
    <row r="2" spans="1:11" s="3" customFormat="1" x14ac:dyDescent="0.3">
      <c r="A2" s="6" t="s">
        <v>115</v>
      </c>
      <c r="B2" s="6" t="s">
        <v>43</v>
      </c>
      <c r="C2" s="2"/>
      <c r="E2" s="23"/>
      <c r="F2" s="23"/>
      <c r="G2" s="23"/>
      <c r="H2" s="23"/>
    </row>
    <row r="3" spans="1:11" x14ac:dyDescent="0.3">
      <c r="A3" s="8" t="s">
        <v>44</v>
      </c>
      <c r="B3" s="10" t="s">
        <v>284</v>
      </c>
      <c r="C3" s="10"/>
      <c r="D3" s="10"/>
      <c r="E3" s="10"/>
      <c r="F3" s="10"/>
      <c r="I3" s="10"/>
      <c r="J3" s="10"/>
      <c r="K3" s="10"/>
    </row>
    <row r="5" spans="1:11" ht="28.8" x14ac:dyDescent="0.3">
      <c r="A5" s="9" t="s">
        <v>15</v>
      </c>
      <c r="B5" s="9" t="s">
        <v>16</v>
      </c>
      <c r="C5" s="9" t="s">
        <v>158</v>
      </c>
      <c r="D5" s="9" t="s">
        <v>7</v>
      </c>
      <c r="E5" s="9" t="s">
        <v>45</v>
      </c>
      <c r="F5" s="9" t="s">
        <v>46</v>
      </c>
      <c r="G5" s="9" t="s">
        <v>47</v>
      </c>
      <c r="H5" s="9" t="s">
        <v>48</v>
      </c>
      <c r="I5" s="9" t="s">
        <v>49</v>
      </c>
      <c r="J5" s="9" t="s">
        <v>17</v>
      </c>
      <c r="K5" s="9" t="s">
        <v>50</v>
      </c>
    </row>
    <row r="6" spans="1:11" x14ac:dyDescent="0.3">
      <c r="A6" s="8" t="s">
        <v>51</v>
      </c>
      <c r="B6" s="41" t="s">
        <v>20</v>
      </c>
      <c r="C6" s="8"/>
      <c r="D6" s="8" t="s">
        <v>52</v>
      </c>
      <c r="E6" s="8" t="s">
        <v>53</v>
      </c>
      <c r="F6" s="8"/>
      <c r="G6" s="40" t="s">
        <v>54</v>
      </c>
      <c r="H6" s="40">
        <v>99990101</v>
      </c>
      <c r="I6" s="40">
        <v>19000101</v>
      </c>
      <c r="J6" s="10">
        <f>YEAR(J7)*10000+MONTH(J7)*100+DAY(J7)</f>
        <v>20210711</v>
      </c>
      <c r="K6" s="8"/>
    </row>
    <row r="7" spans="1:11" s="12" customFormat="1" x14ac:dyDescent="0.3">
      <c r="A7" s="42" t="s">
        <v>43</v>
      </c>
      <c r="B7" s="44" t="s">
        <v>55</v>
      </c>
      <c r="C7" s="42"/>
      <c r="D7" s="44" t="s">
        <v>56</v>
      </c>
      <c r="E7" s="42" t="s">
        <v>116</v>
      </c>
      <c r="F7" s="42"/>
      <c r="G7" s="43" t="s">
        <v>54</v>
      </c>
      <c r="H7" s="46">
        <v>2958101</v>
      </c>
      <c r="I7" s="46">
        <v>1</v>
      </c>
      <c r="J7" s="62">
        <v>44388</v>
      </c>
      <c r="K7" s="42" t="s">
        <v>57</v>
      </c>
    </row>
    <row r="8" spans="1:11" x14ac:dyDescent="0.3">
      <c r="A8" t="s">
        <v>58</v>
      </c>
      <c r="B8" s="2" t="s">
        <v>59</v>
      </c>
      <c r="D8" s="2" t="s">
        <v>60</v>
      </c>
      <c r="G8" s="10" t="s">
        <v>54</v>
      </c>
      <c r="H8" s="13" t="s">
        <v>61</v>
      </c>
      <c r="I8" s="13" t="s">
        <v>62</v>
      </c>
      <c r="J8" s="14" t="str">
        <f>TEXT(J7,"dd MMMM YYYY")</f>
        <v>11 July 2021</v>
      </c>
    </row>
    <row r="9" spans="1:11" ht="28.8" x14ac:dyDescent="0.3">
      <c r="A9" t="s">
        <v>65</v>
      </c>
      <c r="B9" s="2" t="s">
        <v>37</v>
      </c>
      <c r="D9" s="2" t="s">
        <v>66</v>
      </c>
      <c r="G9" s="10" t="s">
        <v>54</v>
      </c>
      <c r="H9" s="10">
        <v>1</v>
      </c>
      <c r="I9" s="10">
        <v>1</v>
      </c>
      <c r="J9" s="10">
        <f>MONTH(J7)</f>
        <v>7</v>
      </c>
    </row>
    <row r="10" spans="1:11" x14ac:dyDescent="0.3">
      <c r="A10" t="s">
        <v>67</v>
      </c>
      <c r="B10" s="2" t="s">
        <v>63</v>
      </c>
      <c r="D10" s="2" t="s">
        <v>68</v>
      </c>
      <c r="G10" s="10" t="s">
        <v>54</v>
      </c>
      <c r="H10" s="10" t="s">
        <v>69</v>
      </c>
      <c r="I10" s="10" t="s">
        <v>69</v>
      </c>
      <c r="J10" s="10" t="str">
        <f>TEXT(J7,"MMMM")</f>
        <v>July</v>
      </c>
    </row>
    <row r="11" spans="1:11" x14ac:dyDescent="0.3">
      <c r="A11" t="s">
        <v>70</v>
      </c>
      <c r="B11" s="2" t="s">
        <v>20</v>
      </c>
      <c r="D11" s="2" t="s">
        <v>71</v>
      </c>
      <c r="G11" s="10" t="s">
        <v>54</v>
      </c>
      <c r="H11" s="13">
        <v>9999</v>
      </c>
      <c r="I11" s="13">
        <v>1900</v>
      </c>
      <c r="J11" s="13">
        <f>YEAR(J7)</f>
        <v>2021</v>
      </c>
    </row>
    <row r="12" spans="1:11" ht="43.2" x14ac:dyDescent="0.3">
      <c r="A12" t="s">
        <v>72</v>
      </c>
      <c r="B12" s="2" t="s">
        <v>73</v>
      </c>
      <c r="D12" s="2" t="s">
        <v>74</v>
      </c>
      <c r="G12" s="10" t="s">
        <v>54</v>
      </c>
      <c r="H12" s="15" t="s">
        <v>75</v>
      </c>
      <c r="I12" s="15" t="s">
        <v>76</v>
      </c>
      <c r="J12" s="15" t="str">
        <f>TEXT(J7,"YYYY-MM")</f>
        <v>2021-07</v>
      </c>
    </row>
    <row r="13" spans="1:11" x14ac:dyDescent="0.3">
      <c r="A13" t="s">
        <v>230</v>
      </c>
      <c r="B13" s="2" t="s">
        <v>37</v>
      </c>
      <c r="D13" s="2" t="s">
        <v>231</v>
      </c>
      <c r="G13" s="10" t="s">
        <v>54</v>
      </c>
      <c r="H13" s="10">
        <v>1</v>
      </c>
      <c r="I13">
        <v>1</v>
      </c>
      <c r="J13" s="10">
        <f>WEEKNUM(J7)</f>
        <v>29</v>
      </c>
    </row>
  </sheetData>
  <hyperlinks>
    <hyperlink ref="A1" location="Index!A1" display="Index" xr:uid="{00000000-0004-0000-0C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D5E9-89FE-4488-BBE1-5F388C529EF5}">
  <sheetPr>
    <tabColor rgb="FFFFFF99"/>
  </sheetPr>
  <dimension ref="A1:I19"/>
  <sheetViews>
    <sheetView showOutlineSymbols="0" zoomScale="130" zoomScaleNormal="130" workbookViewId="0">
      <selection activeCell="B1" sqref="B1"/>
    </sheetView>
  </sheetViews>
  <sheetFormatPr defaultColWidth="36.21875" defaultRowHeight="14.4" x14ac:dyDescent="0.3"/>
  <cols>
    <col min="1" max="1" width="24.6640625" style="3" bestFit="1" customWidth="1"/>
    <col min="2" max="2" width="12.44140625" style="3" bestFit="1" customWidth="1"/>
    <col min="3" max="3" width="35.5546875" style="4" bestFit="1" customWidth="1"/>
    <col min="4" max="4" width="16.5546875" style="3" customWidth="1"/>
    <col min="5" max="5" width="8.88671875" style="23" bestFit="1" customWidth="1"/>
    <col min="6" max="6" width="16.33203125" style="23" bestFit="1" customWidth="1"/>
    <col min="7" max="7" width="16.88671875" style="23" bestFit="1" customWidth="1"/>
    <col min="8" max="8" width="24.6640625" style="23" bestFit="1" customWidth="1"/>
    <col min="9" max="9" width="29.109375" style="3" bestFit="1" customWidth="1"/>
    <col min="10" max="16384" width="36.21875" style="3"/>
  </cols>
  <sheetData>
    <row r="1" spans="1:9" x14ac:dyDescent="0.3">
      <c r="A1" s="5" t="s">
        <v>5</v>
      </c>
    </row>
    <row r="2" spans="1:9" x14ac:dyDescent="0.3">
      <c r="A2" s="6" t="s">
        <v>115</v>
      </c>
      <c r="B2" s="6" t="s">
        <v>285</v>
      </c>
      <c r="C2" s="2"/>
    </row>
    <row r="3" spans="1:9" x14ac:dyDescent="0.3">
      <c r="A3" s="6" t="s">
        <v>44</v>
      </c>
      <c r="B3" s="95" t="s">
        <v>290</v>
      </c>
      <c r="C3" s="95"/>
      <c r="D3" s="95"/>
      <c r="E3" s="95"/>
      <c r="F3" s="95"/>
      <c r="G3" s="95"/>
      <c r="H3" s="95"/>
      <c r="I3" s="95"/>
    </row>
    <row r="5" spans="1:9" x14ac:dyDescent="0.3">
      <c r="A5" s="24" t="s">
        <v>15</v>
      </c>
      <c r="B5" s="24" t="s">
        <v>16</v>
      </c>
      <c r="C5" s="24" t="s">
        <v>7</v>
      </c>
      <c r="D5" s="24" t="s">
        <v>45</v>
      </c>
      <c r="E5" s="24" t="s">
        <v>47</v>
      </c>
      <c r="F5" s="80" t="s">
        <v>48</v>
      </c>
      <c r="G5" s="24" t="s">
        <v>49</v>
      </c>
      <c r="H5" s="24" t="s">
        <v>185</v>
      </c>
      <c r="I5" s="24" t="s">
        <v>50</v>
      </c>
    </row>
    <row r="6" spans="1:9" x14ac:dyDescent="0.3">
      <c r="A6" s="3" t="s">
        <v>286</v>
      </c>
      <c r="B6" s="4" t="s">
        <v>20</v>
      </c>
      <c r="C6" s="4" t="s">
        <v>52</v>
      </c>
      <c r="D6" s="3" t="s">
        <v>53</v>
      </c>
      <c r="E6" s="23" t="s">
        <v>54</v>
      </c>
      <c r="G6" s="23">
        <v>0</v>
      </c>
      <c r="H6" s="23">
        <v>1</v>
      </c>
    </row>
    <row r="7" spans="1:9" s="48" customFormat="1" x14ac:dyDescent="0.3">
      <c r="A7" s="48" t="s">
        <v>287</v>
      </c>
      <c r="B7" s="49" t="s">
        <v>20</v>
      </c>
      <c r="C7" s="49" t="s">
        <v>288</v>
      </c>
      <c r="D7" s="48" t="s">
        <v>116</v>
      </c>
      <c r="E7" s="50" t="s">
        <v>54</v>
      </c>
      <c r="F7" s="50"/>
      <c r="G7" s="50">
        <v>0</v>
      </c>
      <c r="H7" s="50">
        <v>152</v>
      </c>
    </row>
    <row r="8" spans="1:9" s="29" customFormat="1" x14ac:dyDescent="0.3">
      <c r="A8" s="29" t="s">
        <v>289</v>
      </c>
      <c r="B8" s="4"/>
      <c r="C8" s="90"/>
      <c r="E8" s="91"/>
      <c r="F8" s="91"/>
      <c r="G8" s="91"/>
      <c r="H8" s="23"/>
    </row>
    <row r="9" spans="1:9" s="29" customFormat="1" x14ac:dyDescent="0.3">
      <c r="B9" s="4"/>
      <c r="C9" s="90"/>
      <c r="E9" s="91"/>
      <c r="G9" s="91"/>
      <c r="H9" s="23"/>
    </row>
    <row r="10" spans="1:9" s="29" customFormat="1" x14ac:dyDescent="0.3">
      <c r="B10" s="4"/>
      <c r="C10" s="90"/>
      <c r="E10" s="91"/>
      <c r="F10" s="91"/>
      <c r="G10" s="91"/>
      <c r="H10" s="23"/>
    </row>
    <row r="11" spans="1:9" s="29" customFormat="1" x14ac:dyDescent="0.3">
      <c r="B11" s="4"/>
      <c r="C11" s="90"/>
      <c r="E11" s="91"/>
      <c r="F11" s="91"/>
      <c r="G11" s="91"/>
      <c r="H11" s="23"/>
    </row>
    <row r="12" spans="1:9" s="29" customFormat="1" x14ac:dyDescent="0.3">
      <c r="B12" s="4"/>
      <c r="C12" s="90"/>
      <c r="E12" s="91"/>
      <c r="F12" s="91"/>
      <c r="G12" s="91"/>
      <c r="H12" s="23"/>
    </row>
    <row r="13" spans="1:9" s="29" customFormat="1" x14ac:dyDescent="0.3">
      <c r="B13"/>
      <c r="C13" s="90"/>
      <c r="E13" s="91"/>
      <c r="F13" s="91"/>
      <c r="G13" s="91"/>
      <c r="H13" s="23"/>
    </row>
    <row r="14" spans="1:9" s="29" customFormat="1" x14ac:dyDescent="0.3">
      <c r="B14"/>
      <c r="C14" s="2"/>
      <c r="E14" s="91"/>
      <c r="F14" s="91"/>
      <c r="G14" s="66"/>
      <c r="H14" s="39"/>
    </row>
    <row r="15" spans="1:9" s="25" customFormat="1" x14ac:dyDescent="0.3">
      <c r="A15" s="25" t="s">
        <v>118</v>
      </c>
      <c r="B15" s="25" t="s">
        <v>55</v>
      </c>
      <c r="C15" s="26" t="s">
        <v>119</v>
      </c>
      <c r="E15" s="27" t="s">
        <v>54</v>
      </c>
      <c r="F15" s="28"/>
      <c r="G15" s="28">
        <v>1</v>
      </c>
      <c r="H15" s="39">
        <v>43101</v>
      </c>
      <c r="I15" s="25" t="s">
        <v>120</v>
      </c>
    </row>
    <row r="16" spans="1:9" s="25" customFormat="1" x14ac:dyDescent="0.3">
      <c r="A16" s="25" t="s">
        <v>121</v>
      </c>
      <c r="B16" s="25" t="s">
        <v>55</v>
      </c>
      <c r="C16" s="26" t="s">
        <v>122</v>
      </c>
      <c r="E16" s="27" t="s">
        <v>54</v>
      </c>
      <c r="F16" s="28"/>
      <c r="G16" s="28">
        <v>2958465</v>
      </c>
      <c r="H16" s="39">
        <v>401404</v>
      </c>
      <c r="I16" s="25" t="s">
        <v>120</v>
      </c>
    </row>
    <row r="17" spans="1:9" s="25" customFormat="1" x14ac:dyDescent="0.3">
      <c r="A17" s="25" t="s">
        <v>123</v>
      </c>
      <c r="B17" s="25" t="s">
        <v>124</v>
      </c>
      <c r="C17" s="26" t="s">
        <v>125</v>
      </c>
      <c r="E17" s="27" t="s">
        <v>54</v>
      </c>
      <c r="F17" s="27"/>
      <c r="G17" s="27">
        <v>1</v>
      </c>
      <c r="H17" s="23">
        <v>1</v>
      </c>
      <c r="I17" s="25" t="s">
        <v>120</v>
      </c>
    </row>
    <row r="18" spans="1:9" s="25" customFormat="1" ht="28.8" x14ac:dyDescent="0.3">
      <c r="A18" s="25" t="s">
        <v>127</v>
      </c>
      <c r="B18" s="25" t="s">
        <v>63</v>
      </c>
      <c r="C18" s="26" t="s">
        <v>128</v>
      </c>
      <c r="E18" s="27" t="s">
        <v>54</v>
      </c>
      <c r="F18" s="27"/>
      <c r="G18" s="27" t="s">
        <v>129</v>
      </c>
      <c r="H18" s="23" t="s">
        <v>129</v>
      </c>
      <c r="I18" s="25" t="s">
        <v>120</v>
      </c>
    </row>
    <row r="19" spans="1:9" s="25" customFormat="1" x14ac:dyDescent="0.3">
      <c r="A19" s="25" t="s">
        <v>19</v>
      </c>
      <c r="B19" s="25" t="s">
        <v>20</v>
      </c>
      <c r="C19" s="26" t="s">
        <v>126</v>
      </c>
      <c r="D19" s="25" t="s">
        <v>93</v>
      </c>
      <c r="E19" s="27" t="s">
        <v>54</v>
      </c>
      <c r="F19" s="27"/>
      <c r="G19" s="27">
        <v>0</v>
      </c>
      <c r="H19" s="27">
        <v>1</v>
      </c>
      <c r="I19" s="51" t="s">
        <v>187</v>
      </c>
    </row>
  </sheetData>
  <mergeCells count="1">
    <mergeCell ref="B3:I3"/>
  </mergeCells>
  <hyperlinks>
    <hyperlink ref="A1" location="Index!A1" display="Index" xr:uid="{E4CF4AD1-1A75-4055-88B9-69BB78F4C2B0}"/>
    <hyperlink ref="I19" location="'Process Metadata'!A25" display="Import_Batch_Process_Task" xr:uid="{2C7549C5-07F7-42BF-B302-4E2348D61594}"/>
  </hyperlinks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E3"/>
  <sheetViews>
    <sheetView showOutlineSymbols="0" workbookViewId="0">
      <selection activeCell="B1" sqref="B1"/>
    </sheetView>
  </sheetViews>
  <sheetFormatPr defaultColWidth="8.88671875" defaultRowHeight="14.4" x14ac:dyDescent="0.3"/>
  <cols>
    <col min="1" max="1" width="18" style="3" bestFit="1" customWidth="1"/>
    <col min="2" max="2" width="31.6640625" style="3" bestFit="1" customWidth="1"/>
    <col min="3" max="3" width="28" style="4" customWidth="1"/>
    <col min="4" max="4" width="34.6640625" style="4" bestFit="1" customWidth="1"/>
    <col min="5" max="5" width="52.6640625" style="3" bestFit="1" customWidth="1"/>
    <col min="6" max="16384" width="8.88671875" style="3"/>
  </cols>
  <sheetData>
    <row r="1" spans="1:5" ht="18" x14ac:dyDescent="0.3">
      <c r="A1" s="5" t="s">
        <v>5</v>
      </c>
    </row>
    <row r="2" spans="1:5" s="6" customFormat="1" ht="18" x14ac:dyDescent="0.3">
      <c r="A2" s="6" t="s">
        <v>149</v>
      </c>
      <c r="B2" s="6" t="s">
        <v>1</v>
      </c>
      <c r="C2" s="6" t="s">
        <v>2</v>
      </c>
      <c r="D2" s="7" t="s">
        <v>3</v>
      </c>
      <c r="E2" s="6" t="s">
        <v>4</v>
      </c>
    </row>
    <row r="3" spans="1:5" ht="18" x14ac:dyDescent="0.3">
      <c r="A3" s="5" t="s">
        <v>246</v>
      </c>
      <c r="B3" s="3" t="s">
        <v>247</v>
      </c>
      <c r="C3" s="4" t="s">
        <v>242</v>
      </c>
      <c r="D3" s="4" t="s">
        <v>248</v>
      </c>
      <c r="E3" s="4" t="s">
        <v>133</v>
      </c>
    </row>
  </sheetData>
  <hyperlinks>
    <hyperlink ref="A1" location="Index!A1" display="Index" xr:uid="{00000000-0004-0000-0300-000000000000}"/>
    <hyperlink ref="A3" location="SF_Customer!A1" display="SF_Customer" xr:uid="{81579C4F-900D-4A07-8796-7F5BC3245FBE}"/>
  </hyperlink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E593-7161-4636-9E52-DB542C5B29A5}">
  <sheetPr>
    <tabColor rgb="FF92D050"/>
  </sheetPr>
  <dimension ref="A1:H16"/>
  <sheetViews>
    <sheetView showOutlineSymbols="0" workbookViewId="0">
      <selection activeCell="B1" sqref="B1"/>
    </sheetView>
  </sheetViews>
  <sheetFormatPr defaultRowHeight="14.4" x14ac:dyDescent="0.3"/>
  <cols>
    <col min="1" max="1" width="25.44140625" customWidth="1"/>
    <col min="2" max="2" width="25.6640625" bestFit="1" customWidth="1"/>
    <col min="3" max="3" width="39.33203125" bestFit="1" customWidth="1"/>
    <col min="4" max="4" width="10.33203125" bestFit="1" customWidth="1"/>
    <col min="5" max="5" width="23.109375" customWidth="1"/>
    <col min="6" max="6" width="24.33203125" style="10" bestFit="1" customWidth="1"/>
    <col min="7" max="7" width="13.77734375" style="10" bestFit="1" customWidth="1"/>
    <col min="8" max="8" width="29.109375" customWidth="1"/>
  </cols>
  <sheetData>
    <row r="1" spans="1:8" ht="18" x14ac:dyDescent="0.3">
      <c r="A1" s="5" t="s">
        <v>5</v>
      </c>
    </row>
    <row r="2" spans="1:8" s="8" customFormat="1" ht="36" x14ac:dyDescent="0.3">
      <c r="A2" s="9" t="s">
        <v>18</v>
      </c>
      <c r="B2" s="9" t="s">
        <v>134</v>
      </c>
      <c r="C2" s="9" t="s">
        <v>7</v>
      </c>
      <c r="D2" s="9" t="s">
        <v>10</v>
      </c>
      <c r="E2" s="9" t="s">
        <v>136</v>
      </c>
      <c r="F2" s="9" t="s">
        <v>8</v>
      </c>
      <c r="G2" s="9" t="s">
        <v>9</v>
      </c>
      <c r="H2" s="9" t="s">
        <v>137</v>
      </c>
    </row>
    <row r="3" spans="1:8" x14ac:dyDescent="0.3">
      <c r="A3" t="s">
        <v>243</v>
      </c>
      <c r="B3" t="s">
        <v>245</v>
      </c>
      <c r="C3" s="2" t="s">
        <v>257</v>
      </c>
      <c r="D3" t="s">
        <v>11</v>
      </c>
      <c r="E3" t="s">
        <v>138</v>
      </c>
      <c r="F3" s="10">
        <v>1</v>
      </c>
      <c r="G3" s="10">
        <v>869</v>
      </c>
      <c r="H3" t="s">
        <v>258</v>
      </c>
    </row>
    <row r="4" spans="1:8" x14ac:dyDescent="0.3">
      <c r="A4" t="s">
        <v>249</v>
      </c>
      <c r="B4" t="s">
        <v>256</v>
      </c>
      <c r="C4" s="2" t="s">
        <v>259</v>
      </c>
      <c r="E4" t="s">
        <v>138</v>
      </c>
      <c r="F4" s="10" t="s">
        <v>266</v>
      </c>
      <c r="G4" s="10" t="s">
        <v>268</v>
      </c>
    </row>
    <row r="5" spans="1:8" x14ac:dyDescent="0.3">
      <c r="A5" t="s">
        <v>250</v>
      </c>
      <c r="B5" t="s">
        <v>260</v>
      </c>
      <c r="C5" s="2" t="s">
        <v>261</v>
      </c>
      <c r="D5" t="s">
        <v>11</v>
      </c>
      <c r="E5" t="s">
        <v>138</v>
      </c>
      <c r="F5" s="10">
        <v>3</v>
      </c>
      <c r="G5" s="10">
        <v>3</v>
      </c>
      <c r="H5" t="s">
        <v>272</v>
      </c>
    </row>
    <row r="6" spans="1:8" x14ac:dyDescent="0.3">
      <c r="A6" t="s">
        <v>251</v>
      </c>
      <c r="B6" t="s">
        <v>256</v>
      </c>
      <c r="C6" s="2" t="s">
        <v>262</v>
      </c>
      <c r="E6" t="s">
        <v>263</v>
      </c>
      <c r="F6" s="10" t="s">
        <v>267</v>
      </c>
      <c r="H6" t="s">
        <v>273</v>
      </c>
    </row>
    <row r="7" spans="1:8" x14ac:dyDescent="0.3">
      <c r="A7" t="s">
        <v>252</v>
      </c>
      <c r="B7" t="s">
        <v>135</v>
      </c>
      <c r="C7" s="2" t="s">
        <v>264</v>
      </c>
      <c r="E7" t="s">
        <v>263</v>
      </c>
      <c r="G7" s="10">
        <v>3858.75</v>
      </c>
    </row>
    <row r="8" spans="1:8" x14ac:dyDescent="0.3">
      <c r="A8" t="s">
        <v>253</v>
      </c>
      <c r="B8" t="s">
        <v>244</v>
      </c>
      <c r="C8" s="2" t="s">
        <v>265</v>
      </c>
      <c r="E8" t="s">
        <v>138</v>
      </c>
      <c r="F8" s="66">
        <v>41275</v>
      </c>
      <c r="G8" s="66">
        <v>41275</v>
      </c>
    </row>
    <row r="9" spans="1:8" ht="18" x14ac:dyDescent="0.3">
      <c r="C9" s="2"/>
    </row>
    <row r="10" spans="1:8" ht="18" x14ac:dyDescent="0.3">
      <c r="C10" s="2"/>
    </row>
    <row r="11" spans="1:8" ht="18" x14ac:dyDescent="0.3">
      <c r="C11" s="2"/>
    </row>
    <row r="12" spans="1:8" ht="18" x14ac:dyDescent="0.3">
      <c r="C12" s="2"/>
    </row>
    <row r="13" spans="1:8" ht="18" x14ac:dyDescent="0.3">
      <c r="C13" s="2"/>
    </row>
    <row r="14" spans="1:8" ht="18" x14ac:dyDescent="0.3">
      <c r="C14" s="2"/>
    </row>
    <row r="15" spans="1:8" ht="18" x14ac:dyDescent="0.3">
      <c r="C15" s="2"/>
    </row>
    <row r="16" spans="1:8" ht="18" x14ac:dyDescent="0.3">
      <c r="C16" s="2"/>
    </row>
  </sheetData>
  <hyperlinks>
    <hyperlink ref="A1" location="Index!A1" display="Index" xr:uid="{EDE5311A-4B98-4F2B-8E95-556BE2D88051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showOutlineSymbols="0" zoomScale="130" zoomScaleNormal="130" workbookViewId="0"/>
  </sheetViews>
  <sheetFormatPr defaultRowHeight="14.4" x14ac:dyDescent="0.3"/>
  <cols>
    <col min="1" max="1" width="35.88671875" customWidth="1"/>
    <col min="2" max="2" width="69.21875" customWidth="1"/>
    <col min="3" max="3" width="29.88671875" customWidth="1"/>
    <col min="4" max="4" width="11.44140625" bestFit="1" customWidth="1"/>
    <col min="5" max="5" width="19.44140625" customWidth="1"/>
    <col min="6" max="6" width="12.5546875" bestFit="1" customWidth="1"/>
  </cols>
  <sheetData>
    <row r="1" spans="1:6" ht="18" x14ac:dyDescent="0.3">
      <c r="A1" s="5" t="s">
        <v>5</v>
      </c>
    </row>
    <row r="2" spans="1:6" ht="18" x14ac:dyDescent="0.3">
      <c r="A2" t="s">
        <v>12</v>
      </c>
    </row>
    <row r="3" spans="1:6" ht="18" x14ac:dyDescent="0.3">
      <c r="A3" t="s">
        <v>154</v>
      </c>
    </row>
    <row r="4" spans="1:6" ht="18" x14ac:dyDescent="0.3">
      <c r="A4" t="s">
        <v>13</v>
      </c>
    </row>
    <row r="5" spans="1:6" ht="18" x14ac:dyDescent="0.3">
      <c r="A5" t="s">
        <v>255</v>
      </c>
    </row>
    <row r="8" spans="1:6" ht="18" x14ac:dyDescent="0.3">
      <c r="A8" s="92" t="s">
        <v>14</v>
      </c>
      <c r="B8" s="92"/>
      <c r="C8" s="92"/>
      <c r="D8" s="92"/>
      <c r="E8" s="92"/>
      <c r="F8" s="92"/>
    </row>
    <row r="9" spans="1:6" x14ac:dyDescent="0.3">
      <c r="A9" s="11" t="s">
        <v>21</v>
      </c>
      <c r="B9" s="11" t="s">
        <v>7</v>
      </c>
      <c r="C9" s="11" t="s">
        <v>2</v>
      </c>
      <c r="D9" s="11" t="s">
        <v>22</v>
      </c>
      <c r="E9" s="6" t="s">
        <v>155</v>
      </c>
      <c r="F9" s="11" t="s">
        <v>23</v>
      </c>
    </row>
    <row r="10" spans="1:6" x14ac:dyDescent="0.3">
      <c r="A10" s="63" t="s">
        <v>276</v>
      </c>
      <c r="B10" s="2"/>
      <c r="E10" s="65"/>
    </row>
    <row r="11" spans="1:6" ht="18" x14ac:dyDescent="0.3">
      <c r="A11" s="63"/>
      <c r="B11" s="2"/>
      <c r="E11" s="65"/>
    </row>
    <row r="12" spans="1:6" ht="18" x14ac:dyDescent="0.3">
      <c r="A12" s="63"/>
      <c r="B12" s="2"/>
      <c r="E12" s="65"/>
    </row>
    <row r="14" spans="1:6" ht="18.75" thickBot="1" x14ac:dyDescent="0.35">
      <c r="A14" s="92" t="s">
        <v>174</v>
      </c>
      <c r="B14" s="92"/>
      <c r="C14" s="92"/>
      <c r="D14" s="92"/>
      <c r="E14" s="92"/>
      <c r="F14" s="92"/>
    </row>
    <row r="15" spans="1:6" ht="15" thickTop="1" x14ac:dyDescent="0.3">
      <c r="A15" s="11" t="s">
        <v>21</v>
      </c>
      <c r="B15" s="11" t="s">
        <v>7</v>
      </c>
      <c r="C15" s="93" t="s">
        <v>164</v>
      </c>
      <c r="D15" s="93"/>
      <c r="E15" s="93"/>
      <c r="F15" s="11"/>
    </row>
    <row r="16" spans="1:6" x14ac:dyDescent="0.3">
      <c r="B16" s="2"/>
      <c r="C16" s="1"/>
    </row>
    <row r="17" spans="1:6" x14ac:dyDescent="0.3">
      <c r="B17" s="2"/>
      <c r="C17" s="1"/>
    </row>
    <row r="18" spans="1:6" x14ac:dyDescent="0.3">
      <c r="B18" s="2"/>
      <c r="C18" s="1"/>
    </row>
    <row r="19" spans="1:6" x14ac:dyDescent="0.3">
      <c r="B19" s="2"/>
      <c r="C19" s="1"/>
    </row>
    <row r="20" spans="1:6" x14ac:dyDescent="0.3">
      <c r="B20" s="2"/>
      <c r="C20" s="1"/>
    </row>
    <row r="21" spans="1:6" x14ac:dyDescent="0.3">
      <c r="B21" s="2"/>
      <c r="C21" s="1"/>
    </row>
    <row r="23" spans="1:6" ht="15" thickBot="1" x14ac:dyDescent="0.35">
      <c r="A23" s="94" t="s">
        <v>24</v>
      </c>
      <c r="B23" s="94"/>
      <c r="C23" s="94"/>
      <c r="D23" s="94"/>
      <c r="E23" s="94"/>
      <c r="F23" s="94"/>
    </row>
    <row r="24" spans="1:6" ht="15" thickTop="1" x14ac:dyDescent="0.3">
      <c r="A24" s="8" t="s">
        <v>21</v>
      </c>
      <c r="B24" s="8" t="s">
        <v>7</v>
      </c>
      <c r="C24" s="93" t="s">
        <v>173</v>
      </c>
      <c r="D24" s="93"/>
      <c r="E24" s="93"/>
      <c r="F24" s="8" t="s">
        <v>23</v>
      </c>
    </row>
    <row r="25" spans="1:6" x14ac:dyDescent="0.3">
      <c r="A25" s="1" t="s">
        <v>25</v>
      </c>
      <c r="B25" t="s">
        <v>33</v>
      </c>
      <c r="C25" t="s">
        <v>34</v>
      </c>
      <c r="F25" t="s">
        <v>26</v>
      </c>
    </row>
    <row r="26" spans="1:6" ht="28.8" x14ac:dyDescent="0.3">
      <c r="A26" s="1" t="s">
        <v>27</v>
      </c>
      <c r="B26" t="s">
        <v>28</v>
      </c>
      <c r="C26" s="2" t="s">
        <v>171</v>
      </c>
      <c r="F26" t="s">
        <v>29</v>
      </c>
    </row>
    <row r="27" spans="1:6" ht="28.8" x14ac:dyDescent="0.3">
      <c r="A27" s="1" t="s">
        <v>30</v>
      </c>
      <c r="B27" t="s">
        <v>31</v>
      </c>
      <c r="C27" s="2" t="s">
        <v>172</v>
      </c>
      <c r="F27" t="s">
        <v>32</v>
      </c>
    </row>
    <row r="29" spans="1:6" ht="15" thickBot="1" x14ac:dyDescent="0.35">
      <c r="A29" s="94" t="s">
        <v>162</v>
      </c>
      <c r="B29" s="94"/>
      <c r="C29" s="94"/>
      <c r="D29" s="94"/>
      <c r="E29" s="94"/>
      <c r="F29" s="94"/>
    </row>
    <row r="30" spans="1:6" ht="15" thickTop="1" x14ac:dyDescent="0.3">
      <c r="A30" s="8" t="s">
        <v>21</v>
      </c>
      <c r="B30" s="8" t="s">
        <v>7</v>
      </c>
      <c r="C30" s="93" t="s">
        <v>164</v>
      </c>
      <c r="D30" s="93"/>
      <c r="E30" s="93"/>
      <c r="F30" s="8"/>
    </row>
    <row r="31" spans="1:6" x14ac:dyDescent="0.3">
      <c r="A31" s="1" t="s">
        <v>160</v>
      </c>
      <c r="B31" t="s">
        <v>163</v>
      </c>
      <c r="C31" t="s">
        <v>25</v>
      </c>
    </row>
  </sheetData>
  <mergeCells count="7">
    <mergeCell ref="C30:E30"/>
    <mergeCell ref="C15:E15"/>
    <mergeCell ref="A8:F8"/>
    <mergeCell ref="A23:F23"/>
    <mergeCell ref="C24:E24"/>
    <mergeCell ref="A29:F29"/>
    <mergeCell ref="A14:F14"/>
  </mergeCells>
  <hyperlinks>
    <hyperlink ref="A1" location="Index!A1" display="Index" xr:uid="{00000000-0004-0000-0500-000000000000}"/>
    <hyperlink ref="A25" location="'Process Metadata'!A5" display="Import_Batch" xr:uid="{00000000-0004-0000-0500-000001000000}"/>
    <hyperlink ref="A26" location="'Process Metadata'!A16" display="Import_Batch_Process" xr:uid="{00000000-0004-0000-0500-000002000000}"/>
    <hyperlink ref="A27" location="'Process Metadata'!A25" display="Import_Batch_Process_Task" xr:uid="{00000000-0004-0000-0500-000003000000}"/>
    <hyperlink ref="A31" location="'Process Metadata'!J5" display="V_IB_Latest" xr:uid="{00000000-0004-0000-0500-000006000000}"/>
    <hyperlink ref="A10" location="S1_Customer!A1" display="S1_Customer" xr:uid="{9111E88B-6F44-4368-B712-0DDEE8DAB4E5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A174-A900-4A6B-B706-943F363A3C75}">
  <sheetPr>
    <tabColor rgb="FF92D050"/>
  </sheetPr>
  <dimension ref="A1:H10"/>
  <sheetViews>
    <sheetView showOutlineSymbols="0" zoomScale="115" zoomScaleNormal="115" workbookViewId="0">
      <selection activeCell="D26" sqref="D26"/>
    </sheetView>
  </sheetViews>
  <sheetFormatPr defaultColWidth="21.33203125" defaultRowHeight="14.4" x14ac:dyDescent="0.3"/>
  <cols>
    <col min="1" max="1" width="29.44140625" customWidth="1"/>
    <col min="2" max="2" width="15.5546875" customWidth="1"/>
    <col min="3" max="3" width="7.5546875" customWidth="1"/>
    <col min="4" max="4" width="39.88671875" style="2" customWidth="1"/>
    <col min="5" max="5" width="21.77734375" style="10" bestFit="1" customWidth="1"/>
    <col min="6" max="6" width="24.33203125" bestFit="1" customWidth="1"/>
    <col min="7" max="7" width="21.109375" bestFit="1" customWidth="1"/>
    <col min="8" max="8" width="30.6640625" bestFit="1" customWidth="1"/>
  </cols>
  <sheetData>
    <row r="1" spans="1:8" x14ac:dyDescent="0.3">
      <c r="A1" s="5" t="s">
        <v>5</v>
      </c>
    </row>
    <row r="3" spans="1:8" ht="28.8" x14ac:dyDescent="0.3">
      <c r="A3" s="9" t="s">
        <v>15</v>
      </c>
      <c r="B3" s="9" t="s">
        <v>16</v>
      </c>
      <c r="C3" s="9" t="s">
        <v>158</v>
      </c>
      <c r="D3" s="9" t="s">
        <v>7</v>
      </c>
      <c r="E3" s="9" t="s">
        <v>139</v>
      </c>
      <c r="F3" s="9" t="s">
        <v>17</v>
      </c>
      <c r="G3" s="9" t="s">
        <v>140</v>
      </c>
      <c r="H3" s="9" t="s">
        <v>141</v>
      </c>
    </row>
    <row r="4" spans="1:8" x14ac:dyDescent="0.3">
      <c r="A4" t="s">
        <v>240</v>
      </c>
      <c r="B4" t="s">
        <v>20</v>
      </c>
      <c r="C4" t="s">
        <v>131</v>
      </c>
      <c r="D4" s="2" t="s">
        <v>257</v>
      </c>
      <c r="F4" s="10">
        <v>1</v>
      </c>
      <c r="G4" s="10">
        <v>869</v>
      </c>
      <c r="H4" s="33" t="s">
        <v>150</v>
      </c>
    </row>
    <row r="5" spans="1:8" x14ac:dyDescent="0.3">
      <c r="A5" t="s">
        <v>241</v>
      </c>
      <c r="B5" t="s">
        <v>36</v>
      </c>
      <c r="C5" t="s">
        <v>131</v>
      </c>
      <c r="D5" s="2" t="s">
        <v>259</v>
      </c>
      <c r="E5" s="10" t="s">
        <v>117</v>
      </c>
      <c r="F5" s="10" t="s">
        <v>266</v>
      </c>
      <c r="G5" s="10" t="s">
        <v>268</v>
      </c>
      <c r="H5" s="10"/>
    </row>
    <row r="6" spans="1:8" x14ac:dyDescent="0.3">
      <c r="A6" t="s">
        <v>269</v>
      </c>
      <c r="B6" t="s">
        <v>20</v>
      </c>
      <c r="C6" t="s">
        <v>131</v>
      </c>
      <c r="D6" s="2" t="s">
        <v>261</v>
      </c>
      <c r="E6" s="10">
        <v>-1</v>
      </c>
      <c r="F6" s="10">
        <v>3</v>
      </c>
      <c r="G6" s="10">
        <v>3</v>
      </c>
    </row>
    <row r="7" spans="1:8" x14ac:dyDescent="0.3">
      <c r="A7" t="s">
        <v>270</v>
      </c>
      <c r="B7" t="s">
        <v>36</v>
      </c>
      <c r="C7" t="s">
        <v>131</v>
      </c>
      <c r="D7" s="2" t="s">
        <v>262</v>
      </c>
      <c r="E7" s="10" t="s">
        <v>274</v>
      </c>
      <c r="F7" s="10" t="s">
        <v>267</v>
      </c>
      <c r="G7" s="10" t="s">
        <v>274</v>
      </c>
      <c r="H7" s="2"/>
    </row>
    <row r="8" spans="1:8" x14ac:dyDescent="0.3">
      <c r="A8" t="s">
        <v>271</v>
      </c>
      <c r="B8" t="s">
        <v>151</v>
      </c>
      <c r="C8" t="s">
        <v>131</v>
      </c>
      <c r="D8" s="2" t="s">
        <v>264</v>
      </c>
      <c r="E8" s="10">
        <v>-1</v>
      </c>
      <c r="F8" s="10">
        <v>-1</v>
      </c>
      <c r="G8" s="10">
        <v>3858.75</v>
      </c>
      <c r="H8" s="2"/>
    </row>
    <row r="9" spans="1:8" x14ac:dyDescent="0.3">
      <c r="A9" t="s">
        <v>275</v>
      </c>
      <c r="B9" t="s">
        <v>55</v>
      </c>
      <c r="C9" t="s">
        <v>131</v>
      </c>
      <c r="D9" s="2" t="s">
        <v>265</v>
      </c>
      <c r="E9" s="66">
        <v>1</v>
      </c>
      <c r="F9" s="66">
        <v>41275</v>
      </c>
      <c r="G9" s="66">
        <v>41275</v>
      </c>
      <c r="H9" s="2"/>
    </row>
    <row r="10" spans="1:8" x14ac:dyDescent="0.3">
      <c r="A10" t="s">
        <v>19</v>
      </c>
      <c r="B10" s="30" t="s">
        <v>20</v>
      </c>
      <c r="C10" t="s">
        <v>131</v>
      </c>
      <c r="D10" s="32" t="s">
        <v>142</v>
      </c>
      <c r="E10" s="31"/>
      <c r="F10" s="10">
        <v>1</v>
      </c>
      <c r="G10" s="10">
        <v>1</v>
      </c>
      <c r="H10" s="31" t="s">
        <v>143</v>
      </c>
    </row>
  </sheetData>
  <hyperlinks>
    <hyperlink ref="A1" location="Index!A1" display="Index" xr:uid="{5BE38924-D266-4442-9C3A-5688BD77235E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showOutlineSymbols="0" zoomScale="130" zoomScaleNormal="130" workbookViewId="0">
      <selection activeCell="B1" sqref="B1"/>
    </sheetView>
  </sheetViews>
  <sheetFormatPr defaultRowHeight="14.4" x14ac:dyDescent="0.3"/>
  <cols>
    <col min="1" max="1" width="31.44140625" customWidth="1"/>
    <col min="2" max="2" width="69.109375" bestFit="1" customWidth="1"/>
    <col min="3" max="3" width="30.6640625" customWidth="1"/>
    <col min="4" max="4" width="11.44140625" bestFit="1" customWidth="1"/>
    <col min="5" max="5" width="23" bestFit="1" customWidth="1"/>
    <col min="6" max="6" width="12.5546875" bestFit="1" customWidth="1"/>
  </cols>
  <sheetData>
    <row r="1" spans="1:6" ht="18" x14ac:dyDescent="0.3">
      <c r="A1" s="5" t="s">
        <v>5</v>
      </c>
    </row>
    <row r="2" spans="1:6" ht="18" x14ac:dyDescent="0.3">
      <c r="A2" t="s">
        <v>168</v>
      </c>
    </row>
    <row r="3" spans="1:6" ht="18" x14ac:dyDescent="0.3">
      <c r="A3" t="s">
        <v>169</v>
      </c>
    </row>
    <row r="4" spans="1:6" ht="18" x14ac:dyDescent="0.3">
      <c r="A4" t="s">
        <v>170</v>
      </c>
    </row>
    <row r="5" spans="1:6" ht="18" x14ac:dyDescent="0.3">
      <c r="A5" t="s">
        <v>254</v>
      </c>
    </row>
    <row r="8" spans="1:6" ht="18" x14ac:dyDescent="0.3">
      <c r="A8" s="92" t="s">
        <v>14</v>
      </c>
      <c r="B8" s="92"/>
      <c r="C8" s="92"/>
      <c r="D8" s="92"/>
      <c r="E8" s="92"/>
      <c r="F8" s="92"/>
    </row>
    <row r="9" spans="1:6" x14ac:dyDescent="0.3">
      <c r="A9" s="11" t="s">
        <v>21</v>
      </c>
      <c r="B9" s="11" t="s">
        <v>7</v>
      </c>
      <c r="C9" s="11" t="s">
        <v>2</v>
      </c>
      <c r="D9" s="11" t="s">
        <v>22</v>
      </c>
      <c r="E9" s="6" t="s">
        <v>6</v>
      </c>
      <c r="F9" s="11" t="s">
        <v>23</v>
      </c>
    </row>
    <row r="10" spans="1:6" x14ac:dyDescent="0.3">
      <c r="A10" s="63"/>
      <c r="E10" s="63"/>
    </row>
    <row r="11" spans="1:6" x14ac:dyDescent="0.3">
      <c r="A11" s="63"/>
      <c r="E11" s="63"/>
    </row>
    <row r="12" spans="1:6" x14ac:dyDescent="0.3">
      <c r="A12" s="63"/>
      <c r="E12" s="63"/>
    </row>
    <row r="13" spans="1:6" x14ac:dyDescent="0.3">
      <c r="A13" s="63"/>
      <c r="E13" s="63"/>
    </row>
    <row r="14" spans="1:6" ht="18" x14ac:dyDescent="0.3">
      <c r="A14" s="63"/>
      <c r="E14" s="63"/>
    </row>
    <row r="15" spans="1:6" x14ac:dyDescent="0.3">
      <c r="A15" s="63"/>
      <c r="E15" s="63"/>
    </row>
    <row r="16" spans="1:6" x14ac:dyDescent="0.3">
      <c r="A16" s="63"/>
      <c r="B16" s="2"/>
      <c r="E16" s="63"/>
    </row>
    <row r="18" spans="1:6" ht="15" thickBot="1" x14ac:dyDescent="0.35">
      <c r="A18" s="92" t="s">
        <v>174</v>
      </c>
      <c r="B18" s="92"/>
      <c r="C18" s="92"/>
      <c r="D18" s="92"/>
      <c r="E18" s="92"/>
      <c r="F18" s="92"/>
    </row>
    <row r="19" spans="1:6" ht="15" thickTop="1" x14ac:dyDescent="0.3">
      <c r="A19" s="11" t="s">
        <v>21</v>
      </c>
      <c r="B19" s="11" t="s">
        <v>7</v>
      </c>
      <c r="C19" s="93" t="s">
        <v>164</v>
      </c>
      <c r="D19" s="93"/>
      <c r="E19" s="93"/>
      <c r="F19" s="11"/>
    </row>
    <row r="20" spans="1:6" x14ac:dyDescent="0.3">
      <c r="C20" s="1"/>
    </row>
    <row r="22" spans="1:6" x14ac:dyDescent="0.3">
      <c r="C22" s="1"/>
    </row>
    <row r="23" spans="1:6" x14ac:dyDescent="0.3">
      <c r="B23" s="2"/>
      <c r="C23" s="1"/>
    </row>
    <row r="24" spans="1:6" x14ac:dyDescent="0.3">
      <c r="B24" s="2"/>
      <c r="C24" s="1"/>
    </row>
    <row r="26" spans="1:6" ht="15" thickBot="1" x14ac:dyDescent="0.35">
      <c r="A26" s="94" t="s">
        <v>24</v>
      </c>
      <c r="B26" s="94"/>
      <c r="C26" s="94"/>
      <c r="D26" s="94"/>
      <c r="E26" s="94"/>
      <c r="F26" s="94"/>
    </row>
    <row r="27" spans="1:6" ht="15" thickTop="1" x14ac:dyDescent="0.3">
      <c r="A27" s="8" t="s">
        <v>21</v>
      </c>
      <c r="B27" s="8" t="s">
        <v>7</v>
      </c>
      <c r="C27" s="93" t="s">
        <v>173</v>
      </c>
      <c r="D27" s="93"/>
      <c r="E27" s="93"/>
      <c r="F27" s="8" t="s">
        <v>23</v>
      </c>
    </row>
    <row r="28" spans="1:6" x14ac:dyDescent="0.3">
      <c r="A28" s="1" t="s">
        <v>25</v>
      </c>
      <c r="B28" t="s">
        <v>33</v>
      </c>
      <c r="C28" t="s">
        <v>179</v>
      </c>
      <c r="F28" t="s">
        <v>26</v>
      </c>
    </row>
    <row r="29" spans="1:6" ht="28.8" x14ac:dyDescent="0.3">
      <c r="A29" s="1" t="s">
        <v>27</v>
      </c>
      <c r="B29" t="s">
        <v>28</v>
      </c>
      <c r="C29" s="2" t="s">
        <v>180</v>
      </c>
      <c r="F29" t="s">
        <v>29</v>
      </c>
    </row>
    <row r="30" spans="1:6" ht="43.2" x14ac:dyDescent="0.3">
      <c r="A30" s="1" t="s">
        <v>30</v>
      </c>
      <c r="B30" t="s">
        <v>31</v>
      </c>
      <c r="C30" s="2" t="s">
        <v>181</v>
      </c>
      <c r="F30" t="s">
        <v>32</v>
      </c>
    </row>
    <row r="32" spans="1:6" ht="15" thickBot="1" x14ac:dyDescent="0.35">
      <c r="A32" s="94" t="s">
        <v>162</v>
      </c>
      <c r="B32" s="94"/>
      <c r="C32" s="94"/>
      <c r="D32" s="94"/>
      <c r="E32" s="94"/>
      <c r="F32" s="94"/>
    </row>
    <row r="33" spans="1:6" ht="15" thickTop="1" x14ac:dyDescent="0.3">
      <c r="A33" s="8" t="s">
        <v>21</v>
      </c>
      <c r="B33" s="8" t="s">
        <v>7</v>
      </c>
      <c r="C33" s="93" t="s">
        <v>164</v>
      </c>
      <c r="D33" s="93"/>
      <c r="E33" s="93"/>
      <c r="F33" s="8"/>
    </row>
    <row r="34" spans="1:6" x14ac:dyDescent="0.3">
      <c r="A34" s="1" t="s">
        <v>160</v>
      </c>
      <c r="B34" t="s">
        <v>163</v>
      </c>
      <c r="C34" t="s">
        <v>25</v>
      </c>
    </row>
  </sheetData>
  <mergeCells count="7">
    <mergeCell ref="A32:F32"/>
    <mergeCell ref="C33:E33"/>
    <mergeCell ref="A18:F18"/>
    <mergeCell ref="C19:E19"/>
    <mergeCell ref="A8:F8"/>
    <mergeCell ref="A26:F26"/>
    <mergeCell ref="C27:E27"/>
  </mergeCells>
  <hyperlinks>
    <hyperlink ref="A1" location="Index!A1" display="Index" xr:uid="{00000000-0004-0000-0700-000000000000}"/>
    <hyperlink ref="A28" location="'Process Metadata'!A5" display="Import_Batch" xr:uid="{00000000-0004-0000-0700-000001000000}"/>
    <hyperlink ref="A29" location="'Process Metadata'!A16" display="Import_Batch_Process" xr:uid="{00000000-0004-0000-0700-000002000000}"/>
    <hyperlink ref="A30" location="'Process Metadata'!A25" display="Import_Batch_Process_Task" xr:uid="{00000000-0004-0000-0700-000003000000}"/>
    <hyperlink ref="A34" location="'Process Metadata'!J5" display="V_IB_Latest" xr:uid="{00000000-0004-0000-0700-000004000000}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J40"/>
  <sheetViews>
    <sheetView showOutlineSymbols="0" workbookViewId="0">
      <selection activeCell="B1" sqref="B1"/>
    </sheetView>
  </sheetViews>
  <sheetFormatPr defaultRowHeight="14.4" x14ac:dyDescent="0.3"/>
  <cols>
    <col min="1" max="1" width="25.88671875" customWidth="1"/>
    <col min="2" max="2" width="12" bestFit="1" customWidth="1"/>
    <col min="3" max="3" width="11" bestFit="1" customWidth="1"/>
    <col min="4" max="4" width="3.33203125" bestFit="1" customWidth="1"/>
    <col min="5" max="5" width="3.109375" bestFit="1" customWidth="1"/>
    <col min="6" max="6" width="54.5546875" customWidth="1"/>
    <col min="10" max="10" width="106.109375" customWidth="1"/>
  </cols>
  <sheetData>
    <row r="1" spans="1:10" ht="18" x14ac:dyDescent="0.3">
      <c r="A1" s="1" t="s">
        <v>5</v>
      </c>
    </row>
    <row r="3" spans="1:10" ht="18" x14ac:dyDescent="0.3">
      <c r="A3" t="s">
        <v>159</v>
      </c>
    </row>
    <row r="5" spans="1:10" ht="18" x14ac:dyDescent="0.3">
      <c r="A5" s="60" t="s">
        <v>25</v>
      </c>
      <c r="F5" s="60" t="s">
        <v>217</v>
      </c>
      <c r="J5" s="8" t="s">
        <v>160</v>
      </c>
    </row>
    <row r="6" spans="1:10" ht="19.649999999999999" customHeight="1" x14ac:dyDescent="0.3">
      <c r="A6" s="16" t="s">
        <v>15</v>
      </c>
      <c r="B6" s="16" t="s">
        <v>16</v>
      </c>
      <c r="C6" s="16" t="s">
        <v>92</v>
      </c>
      <c r="D6" s="16" t="s">
        <v>53</v>
      </c>
      <c r="E6" s="16" t="s">
        <v>93</v>
      </c>
      <c r="F6" s="16" t="s">
        <v>7</v>
      </c>
      <c r="J6" s="96" t="s">
        <v>161</v>
      </c>
    </row>
    <row r="7" spans="1:10" x14ac:dyDescent="0.3">
      <c r="A7" t="s">
        <v>91</v>
      </c>
      <c r="B7" t="s">
        <v>20</v>
      </c>
      <c r="D7" t="s">
        <v>11</v>
      </c>
      <c r="F7" t="s">
        <v>90</v>
      </c>
      <c r="J7" s="96"/>
    </row>
    <row r="8" spans="1:10" x14ac:dyDescent="0.3">
      <c r="A8" t="s">
        <v>89</v>
      </c>
      <c r="B8" t="s">
        <v>36</v>
      </c>
      <c r="F8" t="s">
        <v>88</v>
      </c>
      <c r="J8" s="96"/>
    </row>
    <row r="9" spans="1:10" x14ac:dyDescent="0.3">
      <c r="A9" t="s">
        <v>87</v>
      </c>
      <c r="B9" t="s">
        <v>64</v>
      </c>
      <c r="F9" t="s">
        <v>156</v>
      </c>
      <c r="J9" s="96"/>
    </row>
    <row r="10" spans="1:10" x14ac:dyDescent="0.3">
      <c r="A10" t="s">
        <v>86</v>
      </c>
      <c r="B10" t="s">
        <v>64</v>
      </c>
      <c r="F10" t="s">
        <v>157</v>
      </c>
      <c r="J10" s="96"/>
    </row>
    <row r="11" spans="1:10" x14ac:dyDescent="0.3">
      <c r="A11" t="s">
        <v>85</v>
      </c>
      <c r="B11" t="s">
        <v>82</v>
      </c>
      <c r="F11" t="s">
        <v>84</v>
      </c>
      <c r="J11" s="96"/>
    </row>
    <row r="12" spans="1:10" x14ac:dyDescent="0.3">
      <c r="A12" t="s">
        <v>83</v>
      </c>
      <c r="B12" t="s">
        <v>82</v>
      </c>
      <c r="C12" t="s">
        <v>11</v>
      </c>
      <c r="F12" t="s">
        <v>81</v>
      </c>
      <c r="J12" s="96"/>
    </row>
    <row r="13" spans="1:10" x14ac:dyDescent="0.3">
      <c r="A13" t="s">
        <v>80</v>
      </c>
      <c r="B13" t="s">
        <v>63</v>
      </c>
      <c r="F13" t="s">
        <v>79</v>
      </c>
      <c r="J13" s="96"/>
    </row>
    <row r="16" spans="1:10" ht="18" x14ac:dyDescent="0.3">
      <c r="A16" s="60" t="s">
        <v>27</v>
      </c>
      <c r="F16" s="60" t="s">
        <v>218</v>
      </c>
    </row>
    <row r="17" spans="1:6" ht="18" x14ac:dyDescent="0.3">
      <c r="A17" s="16" t="s">
        <v>15</v>
      </c>
      <c r="B17" s="16" t="s">
        <v>16</v>
      </c>
      <c r="C17" s="16" t="s">
        <v>92</v>
      </c>
      <c r="D17" s="16" t="s">
        <v>53</v>
      </c>
      <c r="E17" s="16" t="s">
        <v>93</v>
      </c>
      <c r="F17" s="16" t="s">
        <v>7</v>
      </c>
    </row>
    <row r="18" spans="1:6" ht="18" x14ac:dyDescent="0.3">
      <c r="A18" t="s">
        <v>94</v>
      </c>
      <c r="B18" t="s">
        <v>20</v>
      </c>
      <c r="D18" t="s">
        <v>11</v>
      </c>
      <c r="F18" s="2" t="s">
        <v>95</v>
      </c>
    </row>
    <row r="19" spans="1:6" x14ac:dyDescent="0.3">
      <c r="A19" t="s">
        <v>91</v>
      </c>
      <c r="B19" t="s">
        <v>20</v>
      </c>
      <c r="E19" t="s">
        <v>11</v>
      </c>
      <c r="F19" t="s">
        <v>96</v>
      </c>
    </row>
    <row r="20" spans="1:6" x14ac:dyDescent="0.3">
      <c r="A20" t="s">
        <v>97</v>
      </c>
      <c r="B20" t="s">
        <v>36</v>
      </c>
      <c r="F20" t="s">
        <v>88</v>
      </c>
    </row>
    <row r="21" spans="1:6" x14ac:dyDescent="0.3">
      <c r="A21" t="s">
        <v>98</v>
      </c>
      <c r="B21" t="s">
        <v>82</v>
      </c>
      <c r="F21" t="s">
        <v>84</v>
      </c>
    </row>
    <row r="22" spans="1:6" x14ac:dyDescent="0.3">
      <c r="A22" t="s">
        <v>99</v>
      </c>
      <c r="B22" t="s">
        <v>82</v>
      </c>
      <c r="C22" t="s">
        <v>11</v>
      </c>
      <c r="F22" t="s">
        <v>81</v>
      </c>
    </row>
    <row r="23" spans="1:6" x14ac:dyDescent="0.3">
      <c r="A23" t="s">
        <v>100</v>
      </c>
      <c r="B23" t="s">
        <v>63</v>
      </c>
      <c r="F23" t="s">
        <v>79</v>
      </c>
    </row>
    <row r="25" spans="1:6" x14ac:dyDescent="0.3">
      <c r="A25" s="60" t="s">
        <v>30</v>
      </c>
      <c r="F25" s="60" t="s">
        <v>219</v>
      </c>
    </row>
    <row r="26" spans="1:6" x14ac:dyDescent="0.3">
      <c r="A26" s="16" t="s">
        <v>15</v>
      </c>
      <c r="B26" s="16" t="s">
        <v>16</v>
      </c>
      <c r="C26" s="16" t="s">
        <v>92</v>
      </c>
      <c r="D26" s="16" t="s">
        <v>53</v>
      </c>
      <c r="E26" s="16" t="s">
        <v>93</v>
      </c>
      <c r="F26" s="16" t="s">
        <v>7</v>
      </c>
    </row>
    <row r="27" spans="1:6" x14ac:dyDescent="0.3">
      <c r="A27" t="s">
        <v>19</v>
      </c>
      <c r="B27" t="s">
        <v>20</v>
      </c>
      <c r="D27" t="s">
        <v>11</v>
      </c>
      <c r="F27" t="s">
        <v>216</v>
      </c>
    </row>
    <row r="28" spans="1:6" x14ac:dyDescent="0.3">
      <c r="A28" t="s">
        <v>94</v>
      </c>
      <c r="B28" t="s">
        <v>20</v>
      </c>
      <c r="E28" t="s">
        <v>11</v>
      </c>
      <c r="F28" t="s">
        <v>101</v>
      </c>
    </row>
    <row r="29" spans="1:6" x14ac:dyDescent="0.3">
      <c r="A29" t="s">
        <v>102</v>
      </c>
      <c r="B29" t="s">
        <v>36</v>
      </c>
      <c r="F29" t="s">
        <v>103</v>
      </c>
    </row>
    <row r="30" spans="1:6" x14ac:dyDescent="0.3">
      <c r="A30" t="s">
        <v>104</v>
      </c>
      <c r="B30" t="s">
        <v>82</v>
      </c>
      <c r="F30" t="s">
        <v>84</v>
      </c>
    </row>
    <row r="31" spans="1:6" x14ac:dyDescent="0.3">
      <c r="A31" t="s">
        <v>105</v>
      </c>
      <c r="B31" t="s">
        <v>82</v>
      </c>
      <c r="C31" t="s">
        <v>11</v>
      </c>
      <c r="F31" t="s">
        <v>81</v>
      </c>
    </row>
    <row r="32" spans="1:6" x14ac:dyDescent="0.3">
      <c r="A32" t="s">
        <v>106</v>
      </c>
      <c r="B32" t="s">
        <v>63</v>
      </c>
      <c r="F32" t="s">
        <v>79</v>
      </c>
    </row>
    <row r="33" spans="1:6" x14ac:dyDescent="0.3">
      <c r="A33" t="s">
        <v>107</v>
      </c>
      <c r="B33" t="s">
        <v>20</v>
      </c>
      <c r="C33" t="s">
        <v>11</v>
      </c>
      <c r="F33" t="s">
        <v>108</v>
      </c>
    </row>
    <row r="34" spans="1:6" x14ac:dyDescent="0.3">
      <c r="A34" t="s">
        <v>109</v>
      </c>
      <c r="B34" t="s">
        <v>20</v>
      </c>
      <c r="C34" t="s">
        <v>11</v>
      </c>
      <c r="F34" t="s">
        <v>110</v>
      </c>
    </row>
    <row r="35" spans="1:6" x14ac:dyDescent="0.3">
      <c r="A35" t="s">
        <v>111</v>
      </c>
      <c r="B35" t="s">
        <v>20</v>
      </c>
      <c r="C35" t="s">
        <v>11</v>
      </c>
      <c r="F35" t="s">
        <v>112</v>
      </c>
    </row>
    <row r="36" spans="1:6" x14ac:dyDescent="0.3">
      <c r="A36" s="17" t="s">
        <v>220</v>
      </c>
      <c r="B36" s="17" t="s">
        <v>20</v>
      </c>
      <c r="C36" s="17" t="s">
        <v>11</v>
      </c>
      <c r="D36" s="17"/>
      <c r="E36" s="17"/>
      <c r="F36" s="17" t="s">
        <v>221</v>
      </c>
    </row>
    <row r="37" spans="1:6" x14ac:dyDescent="0.3">
      <c r="A37" s="17" t="s">
        <v>222</v>
      </c>
      <c r="B37" s="17" t="s">
        <v>20</v>
      </c>
      <c r="C37" s="17" t="s">
        <v>11</v>
      </c>
      <c r="D37" s="17"/>
      <c r="E37" s="17"/>
      <c r="F37" s="17" t="s">
        <v>223</v>
      </c>
    </row>
    <row r="38" spans="1:6" x14ac:dyDescent="0.3">
      <c r="A38" s="17" t="s">
        <v>224</v>
      </c>
      <c r="B38" s="17" t="s">
        <v>20</v>
      </c>
      <c r="C38" s="17" t="s">
        <v>11</v>
      </c>
      <c r="D38" s="17"/>
      <c r="E38" s="17"/>
      <c r="F38" s="17" t="s">
        <v>226</v>
      </c>
    </row>
    <row r="39" spans="1:6" x14ac:dyDescent="0.3">
      <c r="A39" s="17" t="s">
        <v>225</v>
      </c>
      <c r="B39" s="17" t="s">
        <v>20</v>
      </c>
      <c r="C39" s="17" t="s">
        <v>11</v>
      </c>
      <c r="D39" s="17"/>
      <c r="E39" s="17"/>
      <c r="F39" s="17" t="s">
        <v>227</v>
      </c>
    </row>
    <row r="40" spans="1:6" x14ac:dyDescent="0.3">
      <c r="A40" s="17" t="s">
        <v>228</v>
      </c>
      <c r="B40" s="17" t="s">
        <v>20</v>
      </c>
      <c r="C40" s="17" t="s">
        <v>11</v>
      </c>
      <c r="D40" s="17"/>
      <c r="E40" s="17"/>
      <c r="F40" s="17" t="s">
        <v>229</v>
      </c>
    </row>
  </sheetData>
  <mergeCells count="1">
    <mergeCell ref="J6:J13"/>
  </mergeCells>
  <hyperlinks>
    <hyperlink ref="A1" location="Index!A1" display="Index" xr:uid="{00000000-0004-0000-11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Naming Conventions</vt:lpstr>
      <vt:lpstr>Bus Matrix</vt:lpstr>
      <vt:lpstr>AtomicDW</vt:lpstr>
      <vt:lpstr>Fact table template</vt:lpstr>
      <vt:lpstr>Date</vt:lpstr>
      <vt:lpstr>Dimension Template</vt:lpstr>
      <vt:lpstr>Source Files</vt:lpstr>
      <vt:lpstr>SF_Customer</vt:lpstr>
      <vt:lpstr>Stage1</vt:lpstr>
      <vt:lpstr>S1_Customer</vt:lpstr>
      <vt:lpstr>Stage2</vt:lpstr>
      <vt:lpstr>Process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2026-03-10T08:36:25Z</dcterms:created>
  <dcterms:modified xsi:type="dcterms:W3CDTF">2026-03-17T07:37:17Z</dcterms:modified>
</cp:coreProperties>
</file>